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Assumptions" sheetId="1" r:id="rId4"/>
    <sheet state="visible" name="2. Unit Economics" sheetId="2" r:id="rId5"/>
    <sheet state="visible" name="3. P&amp;L &amp; ROI" sheetId="3" r:id="rId6"/>
  </sheets>
  <definedNames/>
  <calcPr/>
  <extLst>
    <ext uri="GoogleSheetsCustomDataVersion2">
      <go:sheetsCustomData xmlns:go="http://customooxmlschemas.google.com/" r:id="rId7" roundtripDataChecksum="YSpIleQ+sDTcGahbunZntgEnUCEtVvA7GmLMWoFTUoE="/>
    </ext>
  </extLst>
</workbook>
</file>

<file path=xl/sharedStrings.xml><?xml version="1.0" encoding="utf-8"?>
<sst xmlns="http://schemas.openxmlformats.org/spreadsheetml/2006/main" count="156" uniqueCount="140">
  <si>
    <t>Tab 1 — ASSUMPTIONS  /  Giả định đầu vào</t>
  </si>
  <si>
    <t>Luật chơi: chỉ điền vào các ô MÀU VÀNG. Các ô khác là công thức và sẽ tự tính.</t>
  </si>
  <si>
    <t>1. Product &amp; Pricing  /  Sản phẩm &amp; Giá</t>
  </si>
  <si>
    <t>Optimistic</t>
  </si>
  <si>
    <t>Base</t>
  </si>
  <si>
    <t>Pessimistic</t>
  </si>
  <si>
    <t>Đơn vị</t>
  </si>
  <si>
    <t>Ghi chú / Note</t>
  </si>
  <si>
    <t>ARPU — Giá bán bình quân/khách/tháng</t>
  </si>
  <si>
    <t>VND</t>
  </si>
  <si>
    <t>Pricing cao hơn → khó bán hơn nhưng margin tốt hơn</t>
  </si>
  <si>
    <t>Adoption rate — % TAM chuyển thành khách/tháng</t>
  </si>
  <si>
    <t>0.6%</t>
  </si>
  <si>
    <t>0.8%</t>
  </si>
  <si>
    <t>%/tháng</t>
  </si>
  <si>
    <t>% TAM chuyển thành khách trả tiền mới mỗi tháng</t>
  </si>
  <si>
    <t>Total addressable market (số khách tiềm năng)</t>
  </si>
  <si>
    <t>khách</t>
  </si>
  <si>
    <t>Tổng số khách hàng tiềm năng có thể tiếp cận được</t>
  </si>
  <si>
    <t>2. COGS  /  Chi phí biến đổi trên mỗi khách hàng</t>
  </si>
  <si>
    <t>API cost / khách / tháng</t>
  </si>
  <si>
    <t>Face recognition + age estimation + LLM (OpenAI/Anthropic)</t>
  </si>
  <si>
    <t>Hidden costs (labeling, retraining, QA)</t>
  </si>
  <si>
    <t>Labeling ảnh, retraining model, QA giải thích, compliance</t>
  </si>
  <si>
    <t>Infrastructure (server/cloud) / khách</t>
  </si>
  <si>
    <t>GPU inference, storage ảnh hồ sơ, database</t>
  </si>
  <si>
    <t>→ Tổng COGS / khách / tháng</t>
  </si>
  <si>
    <t>3. Customer Behavior  /  Hành vi khách hàng</t>
  </si>
  <si>
    <t>Monthly Churn Rate — % khách rời mỗi tháng</t>
  </si>
  <si>
    <t>3.2%</t>
  </si>
  <si>
    <t>%</t>
  </si>
  <si>
    <t>Benchmark AI product &lt; 5%/tháng</t>
  </si>
  <si>
    <t>→ Số tháng ở lại trung bình</t>
  </si>
  <si>
    <t>4. Sales &amp; Marketing  /  Chi phí thu hút khách</t>
  </si>
  <si>
    <t>CAC — Tổng chi phí có 1 khách hàng mới</t>
  </si>
  <si>
    <t>Tổng tiền Marketing &amp; Sales / Số khách mới</t>
  </si>
  <si>
    <t>5. Fixed Costs  /  Chi phí cố định hàng tháng</t>
  </si>
  <si>
    <t>Salaries — Lương team (PM/Dev/Designer)</t>
  </si>
  <si>
    <t>VND/tháng</t>
  </si>
  <si>
    <t>Pessimistic = phải hire thêm nếu khó scale</t>
  </si>
  <si>
    <t>Office, tools, admin</t>
  </si>
  <si>
    <t>Marketing budget hàng tháng</t>
  </si>
  <si>
    <t>→ Tổng Fixed Cost / tháng</t>
  </si>
  <si>
    <t>6. Initial Investment  /  Vốn đầu tư ban đầu</t>
  </si>
  <si>
    <t>Vốn đầu tư ban đầu (build MVP, setup)</t>
  </si>
  <si>
    <t>Chi phí 1 lần — lương team build MVP, infrastructure setup</t>
  </si>
  <si>
    <t>Tiền mặt ban đầu (sau khi đã trừ vốn đầu tư)</t>
  </si>
  <si>
    <t>Số tiền có sẵn để chi trả fixed cost trong giai đoạn đầu</t>
  </si>
  <si>
    <t>7. Discount Rate  /  Tỷ suất chiết khấu (cho NPV)</t>
  </si>
  <si>
    <t>Annual discount rate (WACC)</t>
  </si>
  <si>
    <t>%/năm</t>
  </si>
  <si>
    <t>Mức kỳ vọng tối thiểu của nhà đầu tư cho dự án AI rủi ro</t>
  </si>
  <si>
    <t>→ Monthly discount rate</t>
  </si>
  <si>
    <t>8. Decision Note  /  Ghi chú quyết định</t>
  </si>
  <si>
    <t>AgeTrace nhắm vào thị trường B2B an ninh Việt Nam với ~1,500 cơ quan (công an, điều tra); ARPU 5M Base dựa trên hybrid model (base fee 3M + overage per query). CAC 10M justify bởi B2B sales cycle 4-6 tháng, cần POC, security audit, compliance (ISO 27001). Hidden costs tính 40% API (800K/tháng) để cover data labeling ảnh khuôn mặt, model retraining 6 tháng/lần, QA giải thích. Churn 3% B2B vì khách an ninh ở lâu khi sản phẩm proved value. Nếu Pessimistic xảy ra (adoption giảm), sẽ pivot sang API consumption model hoặc partnership với cơ quan lớn</t>
  </si>
  <si>
    <t>Tab 2 — UNIT ECONOMICS  /  Kinh tế đơn vị</t>
  </si>
  <si>
    <t>Tự động tính từ Tab 1. Kiểm tra: LTV/CAC &gt; 3 (Base) và CAC Payback &lt; 12 tháng.</t>
  </si>
  <si>
    <t>Chỉ số</t>
  </si>
  <si>
    <t>Benchmark / Note</t>
  </si>
  <si>
    <t>Trên mỗi khách hàng / per customer</t>
  </si>
  <si>
    <t>ARPU / tháng</t>
  </si>
  <si>
    <t>Liên kết từ Tab Assumptions</t>
  </si>
  <si>
    <t>COGS / tháng</t>
  </si>
  <si>
    <t>→ Gross Profit / tháng</t>
  </si>
  <si>
    <t>→ Gross Margin %</t>
  </si>
  <si>
    <t>AI product target: 40-60%. SaaS truyền thống: 80%+</t>
  </si>
  <si>
    <t>LTV — Customer Lifetime Value</t>
  </si>
  <si>
    <t>Số tháng ở lại trung bình</t>
  </si>
  <si>
    <t>tháng</t>
  </si>
  <si>
    <t>→ LTV = Gross Profit × Số tháng ở lại</t>
  </si>
  <si>
    <t>Tổng lợi nhuận gộp một khách mang lại trong vòng đời</t>
  </si>
  <si>
    <t>CAC — Customer Acquisition Cost</t>
  </si>
  <si>
    <t>CAC — Chi phí thu hút 1 khách</t>
  </si>
  <si>
    <t>Key Ratios  /  Tỷ lệ then chốt</t>
  </si>
  <si>
    <t>→ LTV / CAC Ratio</t>
  </si>
  <si>
    <t>🎯 Target &gt; 3.0x (tiêu chuẩn vàng VC)</t>
  </si>
  <si>
    <t>→ CAC Payback Period</t>
  </si>
  <si>
    <t>🎯 Target &lt; 12 tháng (early-stage)</t>
  </si>
  <si>
    <t>Verdict  /  Kết luận</t>
  </si>
  <si>
    <t>Unit Economics Status</t>
  </si>
  <si>
    <t>Tab 3 — P&amp;L &amp; ROI  /  24 tháng</t>
  </si>
  <si>
    <t>Chọn scenario:</t>
  </si>
  <si>
    <t>Đổi scenario tại đây để toàn bộ P&amp;L tự cập nhật</t>
  </si>
  <si>
    <t>Active scenario index:</t>
  </si>
  <si>
    <t>Selected scenario inputs ↓</t>
  </si>
  <si>
    <t>ARPU / khách / tháng</t>
  </si>
  <si>
    <t>Adoption rate</t>
  </si>
  <si>
    <t>TAM (số khách tiềm năng)</t>
  </si>
  <si>
    <t>Total COGS / khách</t>
  </si>
  <si>
    <t>Monthly Churn Rate</t>
  </si>
  <si>
    <t>CAC / khách mới</t>
  </si>
  <si>
    <t>Fixed Cost / tháng</t>
  </si>
  <si>
    <t>Initial Investment</t>
  </si>
  <si>
    <t>Initial Cash</t>
  </si>
  <si>
    <t>Monthly Discount Rate</t>
  </si>
  <si>
    <t>P&amp;L Projection — 24 months  (VND)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</si>
  <si>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</si>
  <si>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</si>
  <si>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</si>
  <si>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</si>
  <si>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</si>
  <si>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</si>
  <si>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</si>
  <si>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</si>
  <si>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</si>
  <si>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</si>
  <si>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</si>
  <si>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</si>
  <si>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</si>
  <si>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</si>
  <si>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</si>
  <si>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</si>
  <si>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</si>
  <si>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</si>
  <si>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</si>
  <si>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</si>
  <si>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</si>
  <si>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</si>
  <si>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</si>
  <si>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</si>
  <si>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</si>
  <si>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TOTAL</t>
  </si>
  <si>
    <t>New customers acquired</t>
  </si>
  <si>
    <t>Active customers (end of month)</t>
  </si>
  <si>
    <t>Revenue</t>
  </si>
  <si>
    <t>COGS (variable cost)</t>
  </si>
  <si>
    <t>Gross Profit</t>
  </si>
  <si>
    <t>Marketing/Acquisition cost</t>
  </si>
  <si>
    <t>Fixed cost (salaries + ops)</t>
  </si>
  <si>
    <t>Operating Profit (EBITDA)</t>
  </si>
  <si>
    <t>Cash Flow (after investment)</t>
  </si>
  <si>
    <t>Cash Position (cumulative)</t>
  </si>
  <si>
    <t>ROI Metrics  /  Chỉ số đánh giá tổng thể dự án</t>
  </si>
  <si>
    <t>NPV (Net Present Value, mil VND)</t>
  </si>
  <si>
    <t>IRR (Annual)</t>
  </si>
  <si>
    <t>Project Payback (months)</t>
  </si>
  <si>
    <t>Runway (months until cash = 0)</t>
  </si>
  <si>
    <t>(helper: cumulative cash flow)</t>
  </si>
  <si>
    <t>Final Verdict  /  Có nên làm dự án này?</t>
  </si>
  <si>
    <t>Project Decision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</si>
</sst>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;\(#,##0\);\-"/>
    <numFmt numFmtId="165" formatCode="0.0%;\(0.0%\);\-"/>
    <numFmt numFmtId="166" formatCode="0.0&quot; tháng&quot;"/>
    <numFmt numFmtId="167" formatCode="0.00\x"/>
  </numFmts>
  <fonts count="23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9.0"/>
      <color rgb="FF64748B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0000FF"/>
      <name val="Arial"/>
    </font>
    <font>
      <color theme="1"/>
      <name val="Arial"/>
    </font>
    <font>
      <sz val="11.0"/>
      <color theme="1"/>
      <name val="Calibri"/>
    </font>
    <font>
      <i/>
      <sz val="10.0"/>
      <color rgb="FF0000FF"/>
      <name val="Arial"/>
    </font>
    <font>
      <sz val="10.0"/>
      <color rgb="FF008000"/>
      <name val="Arial"/>
    </font>
    <font>
      <b/>
      <sz val="11.0"/>
      <color theme="1"/>
      <name val="Arial"/>
    </font>
    <font>
      <b/>
      <sz val="11.0"/>
      <color rgb="FF0F3460"/>
      <name val="Arial"/>
    </font>
    <font>
      <b/>
      <sz val="11.0"/>
      <color rgb="FF0000FF"/>
      <name val="Arial"/>
    </font>
    <font>
      <b/>
      <i/>
      <sz val="9.0"/>
      <color rgb="FF0F3460"/>
      <name val="Arial"/>
    </font>
    <font>
      <i/>
      <sz val="9.0"/>
      <color rgb="FF008000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1.0"/>
      <color rgb="FF000000"/>
      <name val="Arial"/>
    </font>
    <font>
      <i/>
      <sz val="8.0"/>
      <color rgb="FF94A3B8"/>
      <name val="Arial"/>
    </font>
    <font>
      <b/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DCFCE7"/>
        <bgColor rgb="FFDCFCE7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right/>
      <top style="medium">
        <color rgb="FF64748B"/>
      </top>
      <bottom/>
    </border>
    <border>
      <left/>
      <top/>
    </border>
    <border>
      <top/>
    </border>
    <border>
      <right/>
      <top/>
    </border>
    <border>
      <left style="thin">
        <color rgb="FFCBD5E1"/>
      </left>
    </border>
    <border>
      <right/>
    </border>
    <border>
      <left style="thin">
        <color rgb="FFCBD5E1"/>
      </left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1" fillId="3" fontId="4" numFmtId="0" xfId="0" applyAlignment="1" applyBorder="1" applyFill="1" applyFont="1">
      <alignment horizontal="left" shrinkToFit="0" vertical="center" wrapText="0"/>
    </xf>
    <xf borderId="4" fillId="4" fontId="5" numFmtId="0" xfId="0" applyAlignment="1" applyBorder="1" applyFill="1" applyFont="1">
      <alignment horizontal="center" shrinkToFit="0" vertical="bottom" wrapText="0"/>
    </xf>
    <xf borderId="4" fillId="5" fontId="5" numFmtId="0" xfId="0" applyAlignment="1" applyBorder="1" applyFill="1" applyFont="1">
      <alignment horizontal="center" shrinkToFit="0" vertical="bottom" wrapText="0"/>
    </xf>
    <xf borderId="4" fillId="6" fontId="5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5" fillId="7" fontId="7" numFmtId="164" xfId="0" applyAlignment="1" applyBorder="1" applyFill="1" applyFont="1" applyNumberFormat="1">
      <alignment horizontal="right" readingOrder="0" shrinkToFit="0" vertical="center" wrapText="0"/>
    </xf>
    <xf borderId="0" fillId="0" fontId="6" numFmtId="0" xfId="0" applyAlignment="1" applyFont="1">
      <alignment horizontal="center" shrinkToFit="0" vertical="bottom" wrapText="0"/>
    </xf>
    <xf borderId="5" fillId="7" fontId="7" numFmtId="165" xfId="0" applyAlignment="1" applyBorder="1" applyFont="1" applyNumberFormat="1">
      <alignment horizontal="right" readingOrder="0" shrinkToFit="0" vertical="center" wrapText="0"/>
    </xf>
    <xf borderId="5" fillId="7" fontId="7" numFmtId="10" xfId="0" applyAlignment="1" applyBorder="1" applyFont="1" applyNumberFormat="1">
      <alignment horizontal="right" readingOrder="0" shrinkToFit="0" vertical="center" wrapText="0"/>
    </xf>
    <xf borderId="5" fillId="7" fontId="7" numFmtId="0" xfId="0" applyAlignment="1" applyBorder="1" applyFont="1">
      <alignment horizontal="right" readingOrder="0" shrinkToFit="0" vertical="center" wrapText="0"/>
    </xf>
    <xf borderId="0" fillId="0" fontId="8" numFmtId="164" xfId="0" applyAlignment="1" applyFont="1" applyNumberFormat="1">
      <alignment horizontal="right" readingOrder="0" vertical="bottom"/>
    </xf>
    <xf borderId="0" fillId="0" fontId="8" numFmtId="164" xfId="0" applyAlignment="1" applyFont="1" applyNumberFormat="1">
      <alignment readingOrder="0" vertical="bottom"/>
    </xf>
    <xf borderId="0" fillId="0" fontId="8" numFmtId="0" xfId="0" applyAlignment="1" applyFont="1">
      <alignment vertical="bottom"/>
    </xf>
    <xf borderId="6" fillId="5" fontId="5" numFmtId="0" xfId="0" applyAlignment="1" applyBorder="1" applyFont="1">
      <alignment horizontal="left" shrinkToFit="0" vertical="center" wrapText="0"/>
    </xf>
    <xf borderId="6" fillId="5" fontId="5" numFmtId="164" xfId="0" applyAlignment="1" applyBorder="1" applyFont="1" applyNumberFormat="1">
      <alignment horizontal="right" shrinkToFit="0" vertical="center" wrapText="0"/>
    </xf>
    <xf borderId="6" fillId="5" fontId="9" numFmtId="0" xfId="0" applyAlignment="1" applyBorder="1" applyFont="1">
      <alignment shrinkToFit="0" vertical="bottom" wrapText="0"/>
    </xf>
    <xf borderId="5" fillId="7" fontId="7" numFmtId="9" xfId="0" applyAlignment="1" applyBorder="1" applyFont="1" applyNumberFormat="1">
      <alignment horizontal="right" readingOrder="0" shrinkToFit="0" vertical="center" wrapText="0"/>
    </xf>
    <xf borderId="4" fillId="5" fontId="5" numFmtId="0" xfId="0" applyAlignment="1" applyBorder="1" applyFont="1">
      <alignment horizontal="left" shrinkToFit="0" vertical="center" wrapText="0"/>
    </xf>
    <xf borderId="4" fillId="5" fontId="5" numFmtId="166" xfId="0" applyAlignment="1" applyBorder="1" applyFont="1" applyNumberFormat="1">
      <alignment horizontal="right" readingOrder="0" shrinkToFit="0" vertical="center" wrapText="0"/>
    </xf>
    <xf borderId="4" fillId="5" fontId="9" numFmtId="0" xfId="0" applyAlignment="1" applyBorder="1" applyFont="1">
      <alignment shrinkToFit="0" vertical="bottom" wrapText="0"/>
    </xf>
    <xf borderId="4" fillId="5" fontId="5" numFmtId="164" xfId="0" applyAlignment="1" applyBorder="1" applyFont="1" applyNumberFormat="1">
      <alignment horizontal="right" shrinkToFit="0" vertical="center" wrapText="0"/>
    </xf>
    <xf borderId="5" fillId="7" fontId="7" numFmtId="165" xfId="0" applyAlignment="1" applyBorder="1" applyFont="1" applyNumberFormat="1">
      <alignment horizontal="right" shrinkToFit="0" vertical="center" wrapText="0"/>
    </xf>
    <xf borderId="4" fillId="5" fontId="5" numFmtId="165" xfId="0" applyAlignment="1" applyBorder="1" applyFont="1" applyNumberFormat="1">
      <alignment horizontal="right" shrinkToFit="0" vertical="center" wrapText="0"/>
    </xf>
    <xf borderId="7" fillId="3" fontId="4" numFmtId="0" xfId="0" applyAlignment="1" applyBorder="1" applyFont="1">
      <alignment horizontal="left" shrinkToFit="0" vertical="center" wrapText="0"/>
    </xf>
    <xf borderId="8" fillId="0" fontId="2" numFmtId="0" xfId="0" applyBorder="1" applyFont="1"/>
    <xf borderId="9" fillId="0" fontId="2" numFmtId="0" xfId="0" applyBorder="1" applyFont="1"/>
    <xf borderId="10" fillId="8" fontId="10" numFmtId="0" xfId="0" applyAlignment="1" applyBorder="1" applyFill="1" applyFont="1">
      <alignment horizontal="left" readingOrder="0" shrinkToFit="0" vertical="top" wrapText="1"/>
    </xf>
    <xf borderId="0" fillId="8" fontId="10" numFmtId="0" xfId="0" applyAlignment="1" applyFont="1">
      <alignment horizontal="left" shrinkToFit="0" vertical="top" wrapText="1"/>
    </xf>
    <xf borderId="11" fillId="8" fontId="10" numFmtId="0" xfId="0" applyAlignment="1" applyBorder="1" applyFont="1">
      <alignment horizontal="left" shrinkToFit="0" vertical="top" wrapText="1"/>
    </xf>
    <xf borderId="12" fillId="8" fontId="10" numFmtId="0" xfId="0" applyAlignment="1" applyBorder="1" applyFont="1">
      <alignment horizontal="left" shrinkToFit="0" vertical="top" wrapText="1"/>
    </xf>
    <xf borderId="13" fillId="8" fontId="10" numFmtId="0" xfId="0" applyAlignment="1" applyBorder="1" applyFont="1">
      <alignment horizontal="left" shrinkToFit="0" vertical="top" wrapText="1"/>
    </xf>
    <xf borderId="14" fillId="8" fontId="10" numFmtId="0" xfId="0" applyAlignment="1" applyBorder="1" applyFont="1">
      <alignment horizontal="left" shrinkToFit="0" vertical="top" wrapText="1"/>
    </xf>
    <xf borderId="0" fillId="0" fontId="11" numFmtId="164" xfId="0" applyAlignment="1" applyFont="1" applyNumberFormat="1">
      <alignment horizontal="right" shrinkToFit="0" vertical="center" wrapText="0"/>
    </xf>
    <xf borderId="0" fillId="0" fontId="11" numFmtId="166" xfId="0" applyAlignment="1" applyFont="1" applyNumberFormat="1">
      <alignment horizontal="right" shrinkToFit="0" vertical="center" wrapText="0"/>
    </xf>
    <xf borderId="0" fillId="0" fontId="11" numFmtId="166" xfId="0" applyAlignment="1" applyFont="1" applyNumberFormat="1">
      <alignment horizontal="right" readingOrder="0" shrinkToFit="0" vertical="center" wrapText="0"/>
    </xf>
    <xf borderId="4" fillId="5" fontId="5" numFmtId="167" xfId="0" applyAlignment="1" applyBorder="1" applyFont="1" applyNumberFormat="1">
      <alignment horizontal="right" shrinkToFit="0" vertical="center" wrapText="0"/>
    </xf>
    <xf borderId="4" fillId="5" fontId="5" numFmtId="166" xfId="0" applyAlignment="1" applyBorder="1" applyFont="1" applyNumberFormat="1">
      <alignment horizontal="right" shrinkToFit="0" vertical="center" wrapText="0"/>
    </xf>
    <xf borderId="0" fillId="0" fontId="12" numFmtId="0" xfId="0" applyAlignment="1" applyFont="1">
      <alignment horizontal="center" shrinkToFit="0" vertical="center" wrapText="0"/>
    </xf>
    <xf borderId="0" fillId="0" fontId="13" numFmtId="0" xfId="0" applyAlignment="1" applyFont="1">
      <alignment horizontal="right" shrinkToFit="0" vertical="center" wrapText="0"/>
    </xf>
    <xf borderId="5" fillId="7" fontId="14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16" numFmtId="164" xfId="0" applyAlignment="1" applyFont="1" applyNumberFormat="1">
      <alignment horizontal="right" shrinkToFit="0" vertical="center" wrapText="0"/>
    </xf>
    <xf borderId="0" fillId="0" fontId="16" numFmtId="165" xfId="0" applyAlignment="1" applyFont="1" applyNumberFormat="1">
      <alignment horizontal="right" shrinkToFit="0" vertical="center" wrapText="0"/>
    </xf>
    <xf borderId="4" fillId="5" fontId="17" numFmtId="0" xfId="0" applyAlignment="1" applyBorder="1" applyFont="1">
      <alignment shrinkToFit="0" vertical="bottom" wrapText="0"/>
    </xf>
    <xf borderId="4" fillId="5" fontId="18" numFmtId="0" xfId="0" applyAlignment="1" applyBorder="1" applyFont="1">
      <alignment horizontal="center" shrinkToFit="0" vertical="bottom" wrapText="0"/>
    </xf>
    <xf borderId="4" fillId="5" fontId="17" numFmtId="0" xfId="0" applyAlignment="1" applyBorder="1" applyFont="1">
      <alignment horizontal="center" shrinkToFit="0" vertical="bottom" wrapText="0"/>
    </xf>
    <xf borderId="0" fillId="0" fontId="19" numFmtId="164" xfId="0" applyAlignment="1" applyFont="1" applyNumberFormat="1">
      <alignment horizontal="right" shrinkToFit="0" vertical="bottom" wrapText="0"/>
    </xf>
    <xf borderId="0" fillId="0" fontId="17" numFmtId="164" xfId="0" applyAlignment="1" applyFont="1" applyNumberFormat="1">
      <alignment shrinkToFit="0" vertical="bottom" wrapText="0"/>
    </xf>
    <xf borderId="4" fillId="4" fontId="5" numFmtId="0" xfId="0" applyAlignment="1" applyBorder="1" applyFont="1">
      <alignment horizontal="left" shrinkToFit="0" vertical="center" wrapText="0"/>
    </xf>
    <xf borderId="4" fillId="4" fontId="18" numFmtId="164" xfId="0" applyAlignment="1" applyBorder="1" applyFont="1" applyNumberFormat="1">
      <alignment horizontal="right" shrinkToFit="0" vertical="bottom" wrapText="0"/>
    </xf>
    <xf borderId="4" fillId="4" fontId="17" numFmtId="164" xfId="0" applyAlignment="1" applyBorder="1" applyFont="1" applyNumberFormat="1">
      <alignment shrinkToFit="0" vertical="bottom" wrapText="0"/>
    </xf>
    <xf borderId="0" fillId="0" fontId="18" numFmtId="164" xfId="0" applyAlignment="1" applyFont="1" applyNumberFormat="1">
      <alignment horizontal="right" shrinkToFit="0" vertical="bottom" wrapText="0"/>
    </xf>
    <xf borderId="4" fillId="5" fontId="18" numFmtId="164" xfId="0" applyAlignment="1" applyBorder="1" applyFont="1" applyNumberFormat="1">
      <alignment horizontal="right" shrinkToFit="0" vertical="bottom" wrapText="0"/>
    </xf>
    <xf borderId="4" fillId="5" fontId="17" numFmtId="164" xfId="0" applyAlignment="1" applyBorder="1" applyFont="1" applyNumberFormat="1">
      <alignment shrinkToFit="0" vertical="bottom" wrapText="0"/>
    </xf>
    <xf borderId="4" fillId="9" fontId="5" numFmtId="0" xfId="0" applyAlignment="1" applyBorder="1" applyFill="1" applyFont="1">
      <alignment horizontal="left" shrinkToFit="0" vertical="center" wrapText="0"/>
    </xf>
    <xf borderId="4" fillId="9" fontId="18" numFmtId="164" xfId="0" applyAlignment="1" applyBorder="1" applyFont="1" applyNumberFormat="1">
      <alignment horizontal="right" shrinkToFit="0" vertical="bottom" wrapText="0"/>
    </xf>
    <xf borderId="0" fillId="0" fontId="20" numFmtId="164" xfId="0" applyAlignment="1" applyFont="1" applyNumberFormat="1">
      <alignment horizontal="right" shrinkToFit="0" vertical="bottom" wrapText="0"/>
    </xf>
    <xf borderId="0" fillId="0" fontId="12" numFmtId="165" xfId="0" applyAlignment="1" applyFont="1" applyNumberFormat="1">
      <alignment horizontal="right" shrinkToFit="0" vertical="bottom" wrapText="0"/>
    </xf>
    <xf borderId="0" fillId="0" fontId="12" numFmtId="0" xfId="0" applyAlignment="1" applyFont="1">
      <alignment horizontal="right" shrinkToFit="0" vertical="bottom" wrapText="0"/>
    </xf>
    <xf borderId="0" fillId="0" fontId="21" numFmtId="0" xfId="0" applyAlignment="1" applyFont="1">
      <alignment shrinkToFit="0" vertical="bottom" wrapText="0"/>
    </xf>
    <xf borderId="0" fillId="0" fontId="21" numFmtId="164" xfId="0" applyAlignment="1" applyFont="1" applyNumberFormat="1">
      <alignment horizontal="right" shrinkToFit="0" vertical="bottom" wrapText="0"/>
    </xf>
    <xf borderId="0" fillId="0" fontId="22" numFmtId="0" xfId="0" applyAlignment="1" applyFont="1">
      <alignment horizontal="left" shrinkToFit="0" vertical="center" wrapText="0"/>
    </xf>
  </cellXfs>
  <cellStyles count="1">
    <cellStyle xfId="0" name="Normal" builtinId="0"/>
  </cellStyles>
  <dxfs count="6">
    <dxf>
      <font>
        <b/>
        <sz val="10.0"/>
        <color rgb="FFDC2626"/>
        <name val="Arial"/>
      </font>
      <fill>
        <patternFill patternType="solid">
          <fgColor rgb="FFFEE2E2"/>
          <bgColor rgb="FFFEE2E2"/>
        </patternFill>
      </fill>
      <border/>
    </dxf>
    <dxf>
      <font>
        <b/>
        <sz val="10.0"/>
        <color rgb="FFD97706"/>
        <name val="Arial"/>
      </font>
      <fill>
        <patternFill patternType="solid">
          <fgColor rgb="FFFEF3C7"/>
          <bgColor rgb="FFFEF3C7"/>
        </patternFill>
      </fill>
      <border/>
    </dxf>
    <dxf>
      <font>
        <b/>
        <sz val="10.0"/>
        <color rgb="FF16A34A"/>
        <name val="Arial"/>
      </font>
      <fill>
        <patternFill patternType="solid">
          <fgColor rgb="FFDCFCE7"/>
          <bgColor rgb="FFDCFCE7"/>
        </patternFill>
      </fill>
      <border/>
    </dxf>
    <dxf>
      <font>
        <b/>
        <sz val="9.0"/>
        <color rgb="FFDC2626"/>
        <name val="Arial"/>
      </font>
      <fill>
        <patternFill patternType="solid">
          <fgColor rgb="FFFEE2E2"/>
          <bgColor rgb="FFFEE2E2"/>
        </patternFill>
      </fill>
      <border/>
    </dxf>
    <dxf>
      <font>
        <b/>
        <sz val="11.0"/>
        <color rgb="FF16A34A"/>
        <name val="Arial"/>
      </font>
      <fill>
        <patternFill patternType="solid">
          <fgColor rgb="FFDCFCE7"/>
          <bgColor rgb="FFDCFCE7"/>
        </patternFill>
      </fill>
      <border/>
    </dxf>
    <dxf>
      <font>
        <b/>
        <sz val="11.0"/>
        <color rgb="FFDC2626"/>
        <name val="Arial"/>
      </font>
      <fill>
        <patternFill patternType="solid">
          <fgColor rgb="FFFEE2E2"/>
          <bgColor rgb="FFFEE2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0"/>
    <col customWidth="1" min="2" max="2" width="38.0"/>
    <col customWidth="1" min="3" max="5" width="16.0"/>
    <col customWidth="1" min="6" max="6" width="14.0"/>
    <col customWidth="1" min="7" max="7" width="50.0"/>
    <col customWidth="1" min="8" max="26" width="8.71"/>
  </cols>
  <sheetData>
    <row r="2" ht="30.0" customHeight="1">
      <c r="B2" s="1" t="s">
        <v>0</v>
      </c>
      <c r="C2" s="2"/>
      <c r="D2" s="2"/>
      <c r="E2" s="2"/>
      <c r="F2" s="3"/>
    </row>
    <row r="3" ht="19.5" customHeight="1">
      <c r="B3" s="4" t="s">
        <v>1</v>
      </c>
    </row>
    <row r="5">
      <c r="B5" s="5" t="s">
        <v>2</v>
      </c>
      <c r="C5" s="2"/>
      <c r="D5" s="2"/>
      <c r="E5" s="2"/>
      <c r="F5" s="3"/>
    </row>
    <row r="6">
      <c r="C6" s="6" t="s">
        <v>3</v>
      </c>
      <c r="D6" s="7" t="s">
        <v>4</v>
      </c>
      <c r="E6" s="8" t="s">
        <v>5</v>
      </c>
      <c r="F6" s="9" t="s">
        <v>6</v>
      </c>
      <c r="G6" s="10" t="s">
        <v>7</v>
      </c>
    </row>
    <row r="7">
      <c r="B7" s="11" t="s">
        <v>8</v>
      </c>
      <c r="C7" s="12">
        <v>8000000.0</v>
      </c>
      <c r="D7" s="12">
        <v>5000000.0</v>
      </c>
      <c r="E7" s="12">
        <v>7200000.0</v>
      </c>
      <c r="F7" s="13" t="s">
        <v>9</v>
      </c>
      <c r="G7" s="4" t="s">
        <v>10</v>
      </c>
    </row>
    <row r="8">
      <c r="B8" s="11" t="s">
        <v>11</v>
      </c>
      <c r="C8" s="14" t="s">
        <v>12</v>
      </c>
      <c r="D8" s="15">
        <v>0.004</v>
      </c>
      <c r="E8" s="16" t="s">
        <v>13</v>
      </c>
      <c r="F8" s="13" t="s">
        <v>14</v>
      </c>
      <c r="G8" s="4" t="s">
        <v>15</v>
      </c>
    </row>
    <row r="9">
      <c r="B9" s="11" t="s">
        <v>16</v>
      </c>
      <c r="C9" s="12">
        <v>1500.0</v>
      </c>
      <c r="D9" s="12">
        <v>1500.0</v>
      </c>
      <c r="E9" s="12">
        <v>1500.0</v>
      </c>
      <c r="F9" s="13" t="s">
        <v>17</v>
      </c>
      <c r="G9" s="4" t="s">
        <v>18</v>
      </c>
    </row>
    <row r="11">
      <c r="B11" s="5" t="s">
        <v>19</v>
      </c>
      <c r="C11" s="2"/>
      <c r="D11" s="2"/>
      <c r="E11" s="2"/>
      <c r="F11" s="3"/>
    </row>
    <row r="12">
      <c r="B12" s="11" t="s">
        <v>20</v>
      </c>
      <c r="C12" s="17">
        <v>800000.0</v>
      </c>
      <c r="D12" s="18">
        <v>1200000.0</v>
      </c>
      <c r="E12" s="18">
        <v>3000000.0</v>
      </c>
      <c r="F12" s="19" t="s">
        <v>9</v>
      </c>
      <c r="G12" s="19" t="s">
        <v>21</v>
      </c>
    </row>
    <row r="13">
      <c r="B13" s="11" t="s">
        <v>22</v>
      </c>
      <c r="C13" s="18">
        <v>400000.0</v>
      </c>
      <c r="D13" s="17">
        <v>800000.0</v>
      </c>
      <c r="E13" s="18">
        <v>2000000.0</v>
      </c>
      <c r="F13" s="19" t="s">
        <v>9</v>
      </c>
      <c r="G13" s="19" t="s">
        <v>23</v>
      </c>
    </row>
    <row r="14">
      <c r="B14" s="11" t="s">
        <v>24</v>
      </c>
      <c r="C14" s="17">
        <v>2000000.0</v>
      </c>
      <c r="D14" s="17">
        <v>400000.0</v>
      </c>
      <c r="E14" s="17">
        <v>600000.0</v>
      </c>
      <c r="F14" s="19" t="s">
        <v>9</v>
      </c>
      <c r="G14" s="19" t="s">
        <v>25</v>
      </c>
    </row>
    <row r="15">
      <c r="B15" s="20" t="s">
        <v>26</v>
      </c>
      <c r="C15" s="21">
        <f t="shared" ref="C15:E15" si="1">C12+C13+C14</f>
        <v>3200000</v>
      </c>
      <c r="D15" s="21">
        <f t="shared" si="1"/>
        <v>2400000</v>
      </c>
      <c r="E15" s="21">
        <f t="shared" si="1"/>
        <v>5600000</v>
      </c>
      <c r="F15" s="22"/>
    </row>
    <row r="17">
      <c r="B17" s="5" t="s">
        <v>27</v>
      </c>
      <c r="C17" s="2"/>
      <c r="D17" s="2"/>
      <c r="E17" s="2"/>
      <c r="F17" s="3"/>
    </row>
    <row r="18">
      <c r="B18" s="11" t="s">
        <v>28</v>
      </c>
      <c r="C18" s="23">
        <v>0.02</v>
      </c>
      <c r="D18" s="23">
        <v>0.03</v>
      </c>
      <c r="E18" s="16" t="s">
        <v>29</v>
      </c>
      <c r="F18" s="13" t="s">
        <v>30</v>
      </c>
      <c r="G18" s="4" t="s">
        <v>31</v>
      </c>
    </row>
    <row r="19">
      <c r="B19" s="24" t="s">
        <v>32</v>
      </c>
      <c r="C19" s="25">
        <v>30.0</v>
      </c>
      <c r="D19" s="25">
        <v>12.0</v>
      </c>
      <c r="E19" s="25">
        <v>9.0</v>
      </c>
      <c r="F19" s="26"/>
    </row>
    <row r="21" ht="15.75" customHeight="1">
      <c r="B21" s="5" t="s">
        <v>33</v>
      </c>
      <c r="C21" s="2"/>
      <c r="D21" s="2"/>
      <c r="E21" s="2"/>
      <c r="F21" s="3"/>
    </row>
    <row r="22" ht="15.75" customHeight="1">
      <c r="B22" s="11" t="s">
        <v>34</v>
      </c>
      <c r="C22" s="12">
        <v>5000000.0</v>
      </c>
      <c r="D22" s="12">
        <v>1000000.0</v>
      </c>
      <c r="E22" s="12">
        <v>3000000.0</v>
      </c>
      <c r="F22" s="13" t="s">
        <v>9</v>
      </c>
      <c r="G22" s="4" t="s">
        <v>35</v>
      </c>
    </row>
    <row r="23" ht="15.75" customHeight="1"/>
    <row r="24" ht="15.75" customHeight="1">
      <c r="B24" s="5" t="s">
        <v>36</v>
      </c>
      <c r="C24" s="2"/>
      <c r="D24" s="2"/>
      <c r="E24" s="2"/>
      <c r="F24" s="3"/>
    </row>
    <row r="25" ht="15.75" customHeight="1">
      <c r="B25" s="11" t="s">
        <v>37</v>
      </c>
      <c r="C25" s="12">
        <v>6.0E7</v>
      </c>
      <c r="D25" s="12">
        <v>8.0E7</v>
      </c>
      <c r="E25" s="12">
        <v>1.0E8</v>
      </c>
      <c r="F25" s="13" t="s">
        <v>38</v>
      </c>
      <c r="G25" s="4" t="s">
        <v>39</v>
      </c>
    </row>
    <row r="26" ht="15.75" customHeight="1">
      <c r="B26" s="11" t="s">
        <v>40</v>
      </c>
      <c r="C26" s="12">
        <v>1.0E7</v>
      </c>
      <c r="D26" s="12">
        <v>1.5E7</v>
      </c>
      <c r="E26" s="12">
        <v>2.0E7</v>
      </c>
      <c r="F26" s="13" t="s">
        <v>38</v>
      </c>
    </row>
    <row r="27" ht="15.75" customHeight="1">
      <c r="B27" s="11" t="s">
        <v>41</v>
      </c>
      <c r="C27" s="12">
        <v>3.0E7</v>
      </c>
      <c r="D27" s="12">
        <v>5.0E7</v>
      </c>
      <c r="E27" s="12">
        <v>8.0E7</v>
      </c>
      <c r="F27" s="13" t="s">
        <v>38</v>
      </c>
    </row>
    <row r="28" ht="15.75" customHeight="1">
      <c r="B28" s="24" t="s">
        <v>42</v>
      </c>
      <c r="C28" s="27">
        <f t="shared" ref="C28:E28" si="2">SUM(C25:C27)</f>
        <v>100000000</v>
      </c>
      <c r="D28" s="27">
        <f t="shared" si="2"/>
        <v>145000000</v>
      </c>
      <c r="E28" s="27">
        <f t="shared" si="2"/>
        <v>200000000</v>
      </c>
      <c r="F28" s="26"/>
    </row>
    <row r="29" ht="15.75" customHeight="1"/>
    <row r="30" ht="15.75" customHeight="1">
      <c r="B30" s="5" t="s">
        <v>43</v>
      </c>
      <c r="C30" s="2"/>
      <c r="D30" s="2"/>
      <c r="E30" s="2"/>
      <c r="F30" s="3"/>
    </row>
    <row r="31" ht="15.75" customHeight="1">
      <c r="B31" s="11" t="s">
        <v>44</v>
      </c>
      <c r="C31" s="12">
        <v>8.0E8</v>
      </c>
      <c r="D31" s="12">
        <v>8.0E8</v>
      </c>
      <c r="E31" s="12">
        <v>8.0E8</v>
      </c>
      <c r="F31" s="13" t="s">
        <v>9</v>
      </c>
      <c r="G31" s="4" t="s">
        <v>45</v>
      </c>
    </row>
    <row r="32" ht="15.75" customHeight="1">
      <c r="B32" s="11" t="s">
        <v>46</v>
      </c>
      <c r="C32" s="12">
        <v>3.0E8</v>
      </c>
      <c r="D32" s="12">
        <v>3.0E9</v>
      </c>
      <c r="E32" s="12">
        <v>3.0E9</v>
      </c>
      <c r="F32" s="13" t="s">
        <v>9</v>
      </c>
      <c r="G32" s="4" t="s">
        <v>47</v>
      </c>
    </row>
    <row r="33" ht="15.75" customHeight="1"/>
    <row r="34" ht="15.75" customHeight="1">
      <c r="B34" s="5" t="s">
        <v>48</v>
      </c>
      <c r="C34" s="2"/>
      <c r="D34" s="2"/>
      <c r="E34" s="2"/>
      <c r="F34" s="3"/>
    </row>
    <row r="35" ht="15.75" customHeight="1">
      <c r="B35" s="11" t="s">
        <v>49</v>
      </c>
      <c r="C35" s="28">
        <v>0.2</v>
      </c>
      <c r="D35" s="28">
        <v>0.2</v>
      </c>
      <c r="E35" s="28">
        <v>0.2</v>
      </c>
      <c r="F35" s="13" t="s">
        <v>50</v>
      </c>
      <c r="G35" s="4" t="s">
        <v>51</v>
      </c>
    </row>
    <row r="36" ht="15.75" customHeight="1">
      <c r="B36" s="24" t="s">
        <v>52</v>
      </c>
      <c r="C36" s="29">
        <f t="shared" ref="C36:E36" si="3">(1+C35)^(1/12)-1</f>
        <v>0.0153094705</v>
      </c>
      <c r="D36" s="29">
        <f t="shared" si="3"/>
        <v>0.0153094705</v>
      </c>
      <c r="E36" s="29">
        <f t="shared" si="3"/>
        <v>0.0153094705</v>
      </c>
      <c r="F36" s="26"/>
    </row>
    <row r="37" ht="15.75" customHeight="1"/>
    <row r="38" ht="15.75" customHeight="1">
      <c r="B38" s="30" t="s">
        <v>53</v>
      </c>
      <c r="C38" s="31"/>
      <c r="D38" s="31"/>
      <c r="E38" s="31"/>
      <c r="F38" s="32"/>
    </row>
    <row r="39" ht="24.75" customHeight="1">
      <c r="B39" s="33" t="s">
        <v>54</v>
      </c>
      <c r="C39" s="34"/>
      <c r="D39" s="34"/>
      <c r="E39" s="34"/>
      <c r="F39" s="35"/>
    </row>
    <row r="40" ht="24.75" customHeight="1">
      <c r="B40" s="36"/>
      <c r="C40" s="37"/>
      <c r="D40" s="37"/>
      <c r="E40" s="37"/>
      <c r="F40" s="3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0">
    <mergeCell ref="B30:F30"/>
    <mergeCell ref="B34:F34"/>
    <mergeCell ref="B38:F38"/>
    <mergeCell ref="B2:F2"/>
    <mergeCell ref="B3:G3"/>
    <mergeCell ref="B5:F5"/>
    <mergeCell ref="B11:F11"/>
    <mergeCell ref="B17:F17"/>
    <mergeCell ref="B21:F21"/>
    <mergeCell ref="B24:F2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0"/>
    <col customWidth="1" min="2" max="2" width="38.0"/>
    <col customWidth="1" min="3" max="5" width="16.0"/>
    <col customWidth="1" min="6" max="6" width="14.0"/>
    <col customWidth="1" min="7" max="7" width="50.0"/>
    <col customWidth="1" min="8" max="26" width="8.71"/>
  </cols>
  <sheetData>
    <row r="2" ht="30.0" customHeight="1">
      <c r="B2" s="1" t="s">
        <v>55</v>
      </c>
      <c r="C2" s="2"/>
      <c r="D2" s="2"/>
      <c r="E2" s="2"/>
      <c r="F2" s="3"/>
    </row>
    <row r="3" ht="19.5" customHeight="1">
      <c r="B3" s="4" t="s">
        <v>56</v>
      </c>
    </row>
    <row r="5">
      <c r="B5" s="10" t="s">
        <v>57</v>
      </c>
      <c r="C5" s="6" t="s">
        <v>3</v>
      </c>
      <c r="D5" s="7" t="s">
        <v>4</v>
      </c>
      <c r="E5" s="8" t="s">
        <v>5</v>
      </c>
      <c r="F5" s="9" t="s">
        <v>6</v>
      </c>
      <c r="G5" s="10" t="s">
        <v>58</v>
      </c>
    </row>
    <row r="7">
      <c r="B7" s="5" t="s">
        <v>59</v>
      </c>
      <c r="C7" s="2"/>
      <c r="D7" s="2"/>
      <c r="E7" s="2"/>
      <c r="F7" s="3"/>
    </row>
    <row r="8">
      <c r="B8" s="11" t="s">
        <v>60</v>
      </c>
      <c r="C8" s="39">
        <f>'1. Assumptions'!C7</f>
        <v>8000000</v>
      </c>
      <c r="D8" s="39">
        <f>'1. Assumptions'!D7</f>
        <v>5000000</v>
      </c>
      <c r="E8" s="39">
        <f>'1. Assumptions'!E7</f>
        <v>7200000</v>
      </c>
      <c r="F8" s="13" t="s">
        <v>9</v>
      </c>
      <c r="G8" s="4" t="s">
        <v>61</v>
      </c>
    </row>
    <row r="9">
      <c r="B9" s="11" t="s">
        <v>62</v>
      </c>
      <c r="C9" s="39">
        <f>'1. Assumptions'!C15</f>
        <v>3200000</v>
      </c>
      <c r="D9" s="39">
        <f>'1. Assumptions'!D15</f>
        <v>2400000</v>
      </c>
      <c r="E9" s="39">
        <f>'1. Assumptions'!E15</f>
        <v>5600000</v>
      </c>
      <c r="F9" s="13" t="s">
        <v>9</v>
      </c>
    </row>
    <row r="10">
      <c r="B10" s="24" t="s">
        <v>63</v>
      </c>
      <c r="C10" s="27">
        <f t="shared" ref="C10:E10" si="1">C8-C9</f>
        <v>4800000</v>
      </c>
      <c r="D10" s="27">
        <f t="shared" si="1"/>
        <v>2600000</v>
      </c>
      <c r="E10" s="27">
        <f t="shared" si="1"/>
        <v>1600000</v>
      </c>
      <c r="F10" s="26"/>
    </row>
    <row r="11">
      <c r="B11" s="24" t="s">
        <v>64</v>
      </c>
      <c r="C11" s="29">
        <f t="shared" ref="C11:E11" si="2">IFERROR(C10/C8,0)</f>
        <v>0.6</v>
      </c>
      <c r="D11" s="29">
        <f t="shared" si="2"/>
        <v>0.52</v>
      </c>
      <c r="E11" s="29">
        <f t="shared" si="2"/>
        <v>0.2222222222</v>
      </c>
      <c r="F11" s="26"/>
      <c r="G11" s="4" t="s">
        <v>65</v>
      </c>
    </row>
    <row r="13">
      <c r="B13" s="5" t="s">
        <v>66</v>
      </c>
      <c r="C13" s="2"/>
      <c r="D13" s="2"/>
      <c r="E13" s="2"/>
      <c r="F13" s="3"/>
    </row>
    <row r="14">
      <c r="B14" s="11" t="s">
        <v>67</v>
      </c>
      <c r="C14" s="40">
        <f>'1. Assumptions'!C19</f>
        <v>30</v>
      </c>
      <c r="D14" s="40">
        <f>'1. Assumptions'!D19</f>
        <v>12</v>
      </c>
      <c r="E14" s="41">
        <v>6.0</v>
      </c>
      <c r="F14" s="13" t="s">
        <v>68</v>
      </c>
    </row>
    <row r="15">
      <c r="B15" s="24" t="s">
        <v>69</v>
      </c>
      <c r="C15" s="27">
        <f t="shared" ref="C15:E15" si="3">C10*C14</f>
        <v>144000000</v>
      </c>
      <c r="D15" s="27">
        <f t="shared" si="3"/>
        <v>31200000</v>
      </c>
      <c r="E15" s="27">
        <f t="shared" si="3"/>
        <v>9600000</v>
      </c>
      <c r="F15" s="26"/>
      <c r="G15" s="4" t="s">
        <v>70</v>
      </c>
    </row>
    <row r="17">
      <c r="B17" s="5" t="s">
        <v>71</v>
      </c>
      <c r="C17" s="2"/>
      <c r="D17" s="2"/>
      <c r="E17" s="2"/>
      <c r="F17" s="3"/>
    </row>
    <row r="18">
      <c r="B18" s="11" t="s">
        <v>72</v>
      </c>
      <c r="C18" s="39">
        <f>'1. Assumptions'!C22</f>
        <v>5000000</v>
      </c>
      <c r="D18" s="39">
        <f>'1. Assumptions'!D22</f>
        <v>1000000</v>
      </c>
      <c r="E18" s="39">
        <f>'1. Assumptions'!E22</f>
        <v>3000000</v>
      </c>
      <c r="F18" s="13" t="s">
        <v>9</v>
      </c>
    </row>
    <row r="20">
      <c r="B20" s="5" t="s">
        <v>73</v>
      </c>
      <c r="C20" s="2"/>
      <c r="D20" s="2"/>
      <c r="E20" s="2"/>
      <c r="F20" s="3"/>
    </row>
    <row r="21" ht="15.75" customHeight="1">
      <c r="B21" s="24" t="s">
        <v>74</v>
      </c>
      <c r="C21" s="42">
        <f t="shared" ref="C21:E21" si="4">IFERROR(C15/C18,0)</f>
        <v>28.8</v>
      </c>
      <c r="D21" s="42">
        <f t="shared" si="4"/>
        <v>31.2</v>
      </c>
      <c r="E21" s="42">
        <f t="shared" si="4"/>
        <v>3.2</v>
      </c>
      <c r="F21" s="26"/>
      <c r="G21" s="4" t="s">
        <v>75</v>
      </c>
    </row>
    <row r="22" ht="15.75" customHeight="1">
      <c r="B22" s="24" t="s">
        <v>76</v>
      </c>
      <c r="C22" s="43">
        <f t="shared" ref="C22:E22" si="5">IFERROR(C18/C10,0)</f>
        <v>1.041666667</v>
      </c>
      <c r="D22" s="43">
        <f t="shared" si="5"/>
        <v>0.3846153846</v>
      </c>
      <c r="E22" s="43">
        <f t="shared" si="5"/>
        <v>1.875</v>
      </c>
      <c r="F22" s="26"/>
      <c r="G22" s="4" t="s">
        <v>77</v>
      </c>
    </row>
    <row r="23" ht="15.75" customHeight="1"/>
    <row r="24" ht="15.75" customHeight="1">
      <c r="B24" s="5" t="s">
        <v>78</v>
      </c>
      <c r="C24" s="2"/>
      <c r="D24" s="2"/>
      <c r="E24" s="2"/>
      <c r="F24" s="3"/>
    </row>
    <row r="25" ht="15.75" customHeight="1">
      <c r="B25" s="10" t="s">
        <v>79</v>
      </c>
      <c r="C25" s="44" t="str">
        <f t="shared" ref="C25:E25" si="6">IF(AND(C21&gt;=3,C22&lt;=12),"✓ HEALTHY",IF(OR(C21&lt;1,C22&gt;18),"✗ UNHEALTHY","⚠ WATCH"))</f>
        <v>✓ HEALTHY</v>
      </c>
      <c r="D25" s="44" t="str">
        <f t="shared" si="6"/>
        <v>✓ HEALTHY</v>
      </c>
      <c r="E25" s="44" t="str">
        <f t="shared" si="6"/>
        <v>✓ HEALTHY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F2"/>
    <mergeCell ref="B3:G3"/>
    <mergeCell ref="B7:F7"/>
    <mergeCell ref="B13:F13"/>
    <mergeCell ref="B17:F17"/>
    <mergeCell ref="B20:F20"/>
    <mergeCell ref="B24:F24"/>
  </mergeCells>
  <conditionalFormatting sqref="C21">
    <cfRule type="cellIs" dxfId="0" priority="1" operator="lessThan">
      <formula>1</formula>
    </cfRule>
  </conditionalFormatting>
  <conditionalFormatting sqref="C21">
    <cfRule type="cellIs" dxfId="1" priority="2" operator="between">
      <formula>1</formula>
      <formula>3</formula>
    </cfRule>
  </conditionalFormatting>
  <conditionalFormatting sqref="C21">
    <cfRule type="cellIs" dxfId="2" priority="3" operator="greaterThanOrEqual">
      <formula>3</formula>
    </cfRule>
  </conditionalFormatting>
  <conditionalFormatting sqref="D21">
    <cfRule type="cellIs" dxfId="0" priority="4" operator="lessThan">
      <formula>1</formula>
    </cfRule>
  </conditionalFormatting>
  <conditionalFormatting sqref="D21">
    <cfRule type="cellIs" dxfId="1" priority="5" operator="between">
      <formula>1</formula>
      <formula>3</formula>
    </cfRule>
  </conditionalFormatting>
  <conditionalFormatting sqref="D21">
    <cfRule type="cellIs" dxfId="2" priority="6" operator="greaterThanOrEqual">
      <formula>3</formula>
    </cfRule>
  </conditionalFormatting>
  <conditionalFormatting sqref="E21">
    <cfRule type="cellIs" dxfId="0" priority="7" operator="lessThan">
      <formula>1</formula>
    </cfRule>
  </conditionalFormatting>
  <conditionalFormatting sqref="E21">
    <cfRule type="cellIs" dxfId="1" priority="8" operator="between">
      <formula>1</formula>
      <formula>3</formula>
    </cfRule>
  </conditionalFormatting>
  <conditionalFormatting sqref="E21">
    <cfRule type="cellIs" dxfId="2" priority="9" operator="greaterThanOrEqual">
      <formula>3</formula>
    </cfRule>
  </conditionalFormatting>
  <conditionalFormatting sqref="C22">
    <cfRule type="cellIs" dxfId="0" priority="10" operator="greaterThan">
      <formula>18</formula>
    </cfRule>
  </conditionalFormatting>
  <conditionalFormatting sqref="C22">
    <cfRule type="cellIs" dxfId="1" priority="11" operator="between">
      <formula>12</formula>
      <formula>18</formula>
    </cfRule>
  </conditionalFormatting>
  <conditionalFormatting sqref="C22">
    <cfRule type="cellIs" dxfId="2" priority="12" operator="lessThanOrEqual">
      <formula>12</formula>
    </cfRule>
  </conditionalFormatting>
  <conditionalFormatting sqref="D22">
    <cfRule type="cellIs" dxfId="0" priority="13" operator="greaterThan">
      <formula>18</formula>
    </cfRule>
  </conditionalFormatting>
  <conditionalFormatting sqref="D22">
    <cfRule type="cellIs" dxfId="1" priority="14" operator="between">
      <formula>12</formula>
      <formula>18</formula>
    </cfRule>
  </conditionalFormatting>
  <conditionalFormatting sqref="D22">
    <cfRule type="cellIs" dxfId="2" priority="15" operator="lessThanOrEqual">
      <formula>12</formula>
    </cfRule>
  </conditionalFormatting>
  <conditionalFormatting sqref="E22">
    <cfRule type="cellIs" dxfId="0" priority="16" operator="greaterThan">
      <formula>18</formula>
    </cfRule>
  </conditionalFormatting>
  <conditionalFormatting sqref="E22">
    <cfRule type="cellIs" dxfId="1" priority="17" operator="between">
      <formula>12</formula>
      <formula>18</formula>
    </cfRule>
  </conditionalFormatting>
  <conditionalFormatting sqref="E22">
    <cfRule type="cellIs" dxfId="2" priority="18" operator="lessThanOrEqual">
      <formula>12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1.0" topLeftCell="C22" activePane="bottomRight" state="frozen"/>
      <selection activeCell="C1" sqref="C1" pane="topRight"/>
      <selection activeCell="A22" sqref="A22" pane="bottomLeft"/>
      <selection activeCell="C22" sqref="C22" pane="bottomRight"/>
    </sheetView>
  </sheetViews>
  <sheetFormatPr customHeight="1" defaultColWidth="14.43" defaultRowHeight="15.0"/>
  <cols>
    <col customWidth="1" min="1" max="1" width="3.0"/>
    <col customWidth="1" min="2" max="2" width="36.0"/>
    <col customWidth="1" min="3" max="26" width="13.0"/>
    <col customWidth="1" min="27" max="27" width="16.0"/>
  </cols>
  <sheetData>
    <row r="2" ht="30.0" customHeight="1">
      <c r="B2" s="1" t="s">
        <v>80</v>
      </c>
      <c r="C2" s="2"/>
      <c r="D2" s="2"/>
      <c r="E2" s="2"/>
      <c r="F2" s="2"/>
      <c r="G2" s="2"/>
      <c r="H2" s="3"/>
    </row>
    <row r="4" ht="15.0" customHeight="1">
      <c r="B4" s="45" t="s">
        <v>81</v>
      </c>
      <c r="C4" s="46" t="s">
        <v>4</v>
      </c>
      <c r="D4" s="4" t="s">
        <v>82</v>
      </c>
    </row>
    <row r="6">
      <c r="B6" s="47" t="s">
        <v>83</v>
      </c>
      <c r="C6" s="47">
        <f t="array" ref="C6">MATCH(C4,{"Optimistic","Base","Pessimistic"},0)</f>
        <v>2</v>
      </c>
    </row>
    <row r="7">
      <c r="B7" s="48" t="s">
        <v>84</v>
      </c>
    </row>
    <row r="8">
      <c r="B8" s="49" t="s">
        <v>85</v>
      </c>
      <c r="C8" s="50">
        <f>CHOOSE($C$6,'1. Assumptions'!C7,'1. Assumptions'!D7,'1. Assumptions'!E7)</f>
        <v>5000000</v>
      </c>
    </row>
    <row r="9">
      <c r="B9" s="49" t="s">
        <v>86</v>
      </c>
      <c r="C9" s="51">
        <f>CHOOSE($C$6,'1. Assumptions'!C8,'1. Assumptions'!D8,'1. Assumptions'!E8)</f>
        <v>0.004</v>
      </c>
    </row>
    <row r="10">
      <c r="B10" s="49" t="s">
        <v>87</v>
      </c>
      <c r="C10" s="50">
        <f>CHOOSE($C$6,'1. Assumptions'!C9,'1. Assumptions'!D9,'1. Assumptions'!E9)</f>
        <v>1500</v>
      </c>
    </row>
    <row r="11">
      <c r="B11" s="49" t="s">
        <v>88</v>
      </c>
      <c r="C11" s="50">
        <f>CHOOSE($C$6,'1. Assumptions'!C15,'1. Assumptions'!D15,'1. Assumptions'!E15)</f>
        <v>2400000</v>
      </c>
    </row>
    <row r="12">
      <c r="B12" s="49" t="s">
        <v>89</v>
      </c>
      <c r="C12" s="51">
        <f>CHOOSE($C$6,'1. Assumptions'!C18,'1. Assumptions'!D18,'1. Assumptions'!E18)</f>
        <v>0.03</v>
      </c>
    </row>
    <row r="13">
      <c r="B13" s="49" t="s">
        <v>90</v>
      </c>
      <c r="C13" s="50">
        <f>CHOOSE($C$6,'1. Assumptions'!C22,'1. Assumptions'!D22,'1. Assumptions'!E22)</f>
        <v>1000000</v>
      </c>
    </row>
    <row r="14">
      <c r="B14" s="49" t="s">
        <v>91</v>
      </c>
      <c r="C14" s="50">
        <f>CHOOSE($C$6,'1. Assumptions'!C28,'1. Assumptions'!D28,'1. Assumptions'!E28)</f>
        <v>145000000</v>
      </c>
    </row>
    <row r="15">
      <c r="B15" s="49" t="s">
        <v>92</v>
      </c>
      <c r="C15" s="50">
        <f>CHOOSE($C$6,'1. Assumptions'!C31,'1. Assumptions'!D31,'1. Assumptions'!E31)</f>
        <v>800000000</v>
      </c>
    </row>
    <row r="16">
      <c r="B16" s="49" t="s">
        <v>93</v>
      </c>
      <c r="C16" s="50">
        <f>CHOOSE($C$6,'1. Assumptions'!C32,'1. Assumptions'!D32,'1. Assumptions'!E32)</f>
        <v>3000000000</v>
      </c>
    </row>
    <row r="17">
      <c r="B17" s="49" t="s">
        <v>94</v>
      </c>
      <c r="C17" s="51">
        <f>CHOOSE($C$6,'1. Assumptions'!C36,'1. Assumptions'!D36,'1. Assumptions'!E36)</f>
        <v>0.0153094705</v>
      </c>
    </row>
    <row r="20">
      <c r="B20" s="5" t="s">
        <v>95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3"/>
    </row>
    <row r="21" ht="15.75" customHeight="1">
      <c r="B21" s="52" t="s">
        <v>96</v>
      </c>
      <c r="C21" s="53" t="s">
        <v>97</v>
      </c>
      <c r="D21" s="53" t="s">
        <v>98</v>
      </c>
      <c r="E21" s="53" t="s">
        <v>99</v>
      </c>
      <c r="F21" s="53" t="s">
        <v>100</v>
      </c>
      <c r="G21" s="53" t="s">
        <v>101</v>
      </c>
      <c r="H21" s="53" t="s">
        <v>102</v>
      </c>
      <c r="I21" s="53" t="s">
        <v>103</v>
      </c>
      <c r="J21" s="53" t="s">
        <v>104</v>
      </c>
      <c r="K21" s="53" t="s">
        <v>105</v>
      </c>
      <c r="L21" s="53" t="s">
        <v>106</v>
      </c>
      <c r="M21" s="53" t="s">
        <v>107</v>
      </c>
      <c r="N21" s="53" t="s">
        <v>108</v>
      </c>
      <c r="O21" s="53" t="s">
        <v>109</v>
      </c>
      <c r="P21" s="53" t="s">
        <v>110</v>
      </c>
      <c r="Q21" s="53" t="s">
        <v>111</v>
      </c>
      <c r="R21" s="53" t="s">
        <v>112</v>
      </c>
      <c r="S21" s="53" t="s">
        <v>113</v>
      </c>
      <c r="T21" s="53" t="s">
        <v>114</v>
      </c>
      <c r="U21" s="53" t="s">
        <v>115</v>
      </c>
      <c r="V21" s="53" t="s">
        <v>116</v>
      </c>
      <c r="W21" s="53" t="s">
        <v>117</v>
      </c>
      <c r="X21" s="53" t="s">
        <v>118</v>
      </c>
      <c r="Y21" s="53" t="s">
        <v>119</v>
      </c>
      <c r="Z21" s="53" t="s">
        <v>120</v>
      </c>
      <c r="AA21" s="54" t="s">
        <v>121</v>
      </c>
    </row>
    <row r="22" ht="15.75" customHeight="1">
      <c r="B22" s="11" t="s">
        <v>122</v>
      </c>
      <c r="C22" s="55">
        <f t="shared" ref="C22:Z22" si="1">ROUND($C$10*$C$9,0)</f>
        <v>6</v>
      </c>
      <c r="D22" s="55">
        <f t="shared" si="1"/>
        <v>6</v>
      </c>
      <c r="E22" s="55">
        <f t="shared" si="1"/>
        <v>6</v>
      </c>
      <c r="F22" s="55">
        <f t="shared" si="1"/>
        <v>6</v>
      </c>
      <c r="G22" s="55">
        <f t="shared" si="1"/>
        <v>6</v>
      </c>
      <c r="H22" s="55">
        <f t="shared" si="1"/>
        <v>6</v>
      </c>
      <c r="I22" s="55">
        <f t="shared" si="1"/>
        <v>6</v>
      </c>
      <c r="J22" s="55">
        <f t="shared" si="1"/>
        <v>6</v>
      </c>
      <c r="K22" s="55">
        <f t="shared" si="1"/>
        <v>6</v>
      </c>
      <c r="L22" s="55">
        <f t="shared" si="1"/>
        <v>6</v>
      </c>
      <c r="M22" s="55">
        <f t="shared" si="1"/>
        <v>6</v>
      </c>
      <c r="N22" s="55">
        <f t="shared" si="1"/>
        <v>6</v>
      </c>
      <c r="O22" s="55">
        <f t="shared" si="1"/>
        <v>6</v>
      </c>
      <c r="P22" s="55">
        <f t="shared" si="1"/>
        <v>6</v>
      </c>
      <c r="Q22" s="55">
        <f t="shared" si="1"/>
        <v>6</v>
      </c>
      <c r="R22" s="55">
        <f t="shared" si="1"/>
        <v>6</v>
      </c>
      <c r="S22" s="55">
        <f t="shared" si="1"/>
        <v>6</v>
      </c>
      <c r="T22" s="55">
        <f t="shared" si="1"/>
        <v>6</v>
      </c>
      <c r="U22" s="55">
        <f t="shared" si="1"/>
        <v>6</v>
      </c>
      <c r="V22" s="55">
        <f t="shared" si="1"/>
        <v>6</v>
      </c>
      <c r="W22" s="55">
        <f t="shared" si="1"/>
        <v>6</v>
      </c>
      <c r="X22" s="55">
        <f t="shared" si="1"/>
        <v>6</v>
      </c>
      <c r="Y22" s="55">
        <f t="shared" si="1"/>
        <v>6</v>
      </c>
      <c r="Z22" s="55">
        <f t="shared" si="1"/>
        <v>6</v>
      </c>
      <c r="AA22" s="56">
        <f>SUM(C22:Z22)</f>
        <v>144</v>
      </c>
    </row>
    <row r="23" ht="15.75" customHeight="1">
      <c r="B23" s="11" t="s">
        <v>123</v>
      </c>
      <c r="C23" s="55">
        <f>C22</f>
        <v>6</v>
      </c>
      <c r="D23" s="55">
        <f t="shared" ref="D23:Z23" si="2">C23*(1-$C$12)+D22</f>
        <v>11.82</v>
      </c>
      <c r="E23" s="55">
        <f t="shared" si="2"/>
        <v>17.4654</v>
      </c>
      <c r="F23" s="55">
        <f t="shared" si="2"/>
        <v>22.941438</v>
      </c>
      <c r="G23" s="55">
        <f t="shared" si="2"/>
        <v>28.25319486</v>
      </c>
      <c r="H23" s="55">
        <f t="shared" si="2"/>
        <v>33.40559901</v>
      </c>
      <c r="I23" s="55">
        <f t="shared" si="2"/>
        <v>38.40343104</v>
      </c>
      <c r="J23" s="55">
        <f t="shared" si="2"/>
        <v>43.25132811</v>
      </c>
      <c r="K23" s="55">
        <f t="shared" si="2"/>
        <v>47.95378827</v>
      </c>
      <c r="L23" s="55">
        <f t="shared" si="2"/>
        <v>52.51517462</v>
      </c>
      <c r="M23" s="55">
        <f t="shared" si="2"/>
        <v>56.93971938</v>
      </c>
      <c r="N23" s="55">
        <f t="shared" si="2"/>
        <v>61.2315278</v>
      </c>
      <c r="O23" s="55">
        <f t="shared" si="2"/>
        <v>65.39458197</v>
      </c>
      <c r="P23" s="55">
        <f t="shared" si="2"/>
        <v>69.43274451</v>
      </c>
      <c r="Q23" s="55">
        <f t="shared" si="2"/>
        <v>73.34976217</v>
      </c>
      <c r="R23" s="55">
        <f t="shared" si="2"/>
        <v>77.14926931</v>
      </c>
      <c r="S23" s="55">
        <f t="shared" si="2"/>
        <v>80.83479123</v>
      </c>
      <c r="T23" s="55">
        <f t="shared" si="2"/>
        <v>84.40974749</v>
      </c>
      <c r="U23" s="55">
        <f t="shared" si="2"/>
        <v>87.87745507</v>
      </c>
      <c r="V23" s="55">
        <f t="shared" si="2"/>
        <v>91.24113141</v>
      </c>
      <c r="W23" s="55">
        <f t="shared" si="2"/>
        <v>94.50389747</v>
      </c>
      <c r="X23" s="55">
        <f t="shared" si="2"/>
        <v>97.66878055</v>
      </c>
      <c r="Y23" s="55">
        <f t="shared" si="2"/>
        <v>100.7387171</v>
      </c>
      <c r="Z23" s="55">
        <f t="shared" si="2"/>
        <v>103.7165556</v>
      </c>
    </row>
    <row r="24" ht="15.75" customHeight="1"/>
    <row r="25" ht="15.75" customHeight="1">
      <c r="B25" s="57" t="s">
        <v>124</v>
      </c>
      <c r="C25" s="58">
        <f t="shared" ref="C25:Z25" si="3">C23*$C$8</f>
        <v>30000000</v>
      </c>
      <c r="D25" s="58">
        <f t="shared" si="3"/>
        <v>59100000</v>
      </c>
      <c r="E25" s="58">
        <f t="shared" si="3"/>
        <v>87327000</v>
      </c>
      <c r="F25" s="58">
        <f t="shared" si="3"/>
        <v>114707190</v>
      </c>
      <c r="G25" s="58">
        <f t="shared" si="3"/>
        <v>141265974.3</v>
      </c>
      <c r="H25" s="58">
        <f t="shared" si="3"/>
        <v>167027995.1</v>
      </c>
      <c r="I25" s="58">
        <f t="shared" si="3"/>
        <v>192017155.2</v>
      </c>
      <c r="J25" s="58">
        <f t="shared" si="3"/>
        <v>216256640.6</v>
      </c>
      <c r="K25" s="58">
        <f t="shared" si="3"/>
        <v>239768941.3</v>
      </c>
      <c r="L25" s="58">
        <f t="shared" si="3"/>
        <v>262575873.1</v>
      </c>
      <c r="M25" s="58">
        <f t="shared" si="3"/>
        <v>284698596.9</v>
      </c>
      <c r="N25" s="58">
        <f t="shared" si="3"/>
        <v>306157639</v>
      </c>
      <c r="O25" s="58">
        <f t="shared" si="3"/>
        <v>326972909.8</v>
      </c>
      <c r="P25" s="58">
        <f t="shared" si="3"/>
        <v>347163722.5</v>
      </c>
      <c r="Q25" s="58">
        <f t="shared" si="3"/>
        <v>366748810.9</v>
      </c>
      <c r="R25" s="58">
        <f t="shared" si="3"/>
        <v>385746346.5</v>
      </c>
      <c r="S25" s="58">
        <f t="shared" si="3"/>
        <v>404173956.1</v>
      </c>
      <c r="T25" s="58">
        <f t="shared" si="3"/>
        <v>422048737.5</v>
      </c>
      <c r="U25" s="58">
        <f t="shared" si="3"/>
        <v>439387275.3</v>
      </c>
      <c r="V25" s="58">
        <f t="shared" si="3"/>
        <v>456205657.1</v>
      </c>
      <c r="W25" s="58">
        <f t="shared" si="3"/>
        <v>472519487.4</v>
      </c>
      <c r="X25" s="58">
        <f t="shared" si="3"/>
        <v>488343902.7</v>
      </c>
      <c r="Y25" s="58">
        <f t="shared" si="3"/>
        <v>503693585.7</v>
      </c>
      <c r="Z25" s="58">
        <f t="shared" si="3"/>
        <v>518582778.1</v>
      </c>
      <c r="AA25" s="59">
        <f t="shared" ref="AA25:AA30" si="5">SUM(C25:Z25)</f>
        <v>7232490175</v>
      </c>
    </row>
    <row r="26" ht="15.75" customHeight="1">
      <c r="B26" s="11" t="s">
        <v>125</v>
      </c>
      <c r="C26" s="55">
        <f t="shared" ref="C26:Z26" si="4">C23*$C$11</f>
        <v>14400000</v>
      </c>
      <c r="D26" s="55">
        <f t="shared" si="4"/>
        <v>28368000</v>
      </c>
      <c r="E26" s="55">
        <f t="shared" si="4"/>
        <v>41916960</v>
      </c>
      <c r="F26" s="55">
        <f t="shared" si="4"/>
        <v>55059451.2</v>
      </c>
      <c r="G26" s="55">
        <f t="shared" si="4"/>
        <v>67807667.66</v>
      </c>
      <c r="H26" s="55">
        <f t="shared" si="4"/>
        <v>80173437.63</v>
      </c>
      <c r="I26" s="55">
        <f t="shared" si="4"/>
        <v>92168234.51</v>
      </c>
      <c r="J26" s="55">
        <f t="shared" si="4"/>
        <v>103803187.5</v>
      </c>
      <c r="K26" s="55">
        <f t="shared" si="4"/>
        <v>115089091.8</v>
      </c>
      <c r="L26" s="55">
        <f t="shared" si="4"/>
        <v>126036419.1</v>
      </c>
      <c r="M26" s="55">
        <f t="shared" si="4"/>
        <v>136655326.5</v>
      </c>
      <c r="N26" s="55">
        <f t="shared" si="4"/>
        <v>146955666.7</v>
      </c>
      <c r="O26" s="55">
        <f t="shared" si="4"/>
        <v>156946996.7</v>
      </c>
      <c r="P26" s="55">
        <f t="shared" si="4"/>
        <v>166638586.8</v>
      </c>
      <c r="Q26" s="55">
        <f t="shared" si="4"/>
        <v>176039429.2</v>
      </c>
      <c r="R26" s="55">
        <f t="shared" si="4"/>
        <v>185158246.3</v>
      </c>
      <c r="S26" s="55">
        <f t="shared" si="4"/>
        <v>194003498.9</v>
      </c>
      <c r="T26" s="55">
        <f t="shared" si="4"/>
        <v>202583394</v>
      </c>
      <c r="U26" s="55">
        <f t="shared" si="4"/>
        <v>210905892.2</v>
      </c>
      <c r="V26" s="55">
        <f t="shared" si="4"/>
        <v>218978715.4</v>
      </c>
      <c r="W26" s="55">
        <f t="shared" si="4"/>
        <v>226809353.9</v>
      </c>
      <c r="X26" s="55">
        <f t="shared" si="4"/>
        <v>234405073.3</v>
      </c>
      <c r="Y26" s="55">
        <f t="shared" si="4"/>
        <v>241772921.1</v>
      </c>
      <c r="Z26" s="55">
        <f t="shared" si="4"/>
        <v>248919733.5</v>
      </c>
      <c r="AA26" s="56">
        <f t="shared" si="5"/>
        <v>3471595284</v>
      </c>
    </row>
    <row r="27" ht="15.75" customHeight="1">
      <c r="B27" s="10" t="s">
        <v>126</v>
      </c>
      <c r="C27" s="60">
        <f t="shared" ref="C27:Z27" si="6">C25-C26</f>
        <v>15600000</v>
      </c>
      <c r="D27" s="60">
        <f t="shared" si="6"/>
        <v>30732000</v>
      </c>
      <c r="E27" s="60">
        <f t="shared" si="6"/>
        <v>45410040</v>
      </c>
      <c r="F27" s="60">
        <f t="shared" si="6"/>
        <v>59647738.8</v>
      </c>
      <c r="G27" s="60">
        <f t="shared" si="6"/>
        <v>73458306.64</v>
      </c>
      <c r="H27" s="60">
        <f t="shared" si="6"/>
        <v>86854557.44</v>
      </c>
      <c r="I27" s="60">
        <f t="shared" si="6"/>
        <v>99848920.71</v>
      </c>
      <c r="J27" s="60">
        <f t="shared" si="6"/>
        <v>112453453.1</v>
      </c>
      <c r="K27" s="60">
        <f t="shared" si="6"/>
        <v>124679849.5</v>
      </c>
      <c r="L27" s="60">
        <f t="shared" si="6"/>
        <v>136539454</v>
      </c>
      <c r="M27" s="60">
        <f t="shared" si="6"/>
        <v>148043270.4</v>
      </c>
      <c r="N27" s="60">
        <f t="shared" si="6"/>
        <v>159201972.3</v>
      </c>
      <c r="O27" s="60">
        <f t="shared" si="6"/>
        <v>170025913.1</v>
      </c>
      <c r="P27" s="60">
        <f t="shared" si="6"/>
        <v>180525135.7</v>
      </c>
      <c r="Q27" s="60">
        <f t="shared" si="6"/>
        <v>190709381.6</v>
      </c>
      <c r="R27" s="60">
        <f t="shared" si="6"/>
        <v>200588100.2</v>
      </c>
      <c r="S27" s="60">
        <f t="shared" si="6"/>
        <v>210170457.2</v>
      </c>
      <c r="T27" s="60">
        <f t="shared" si="6"/>
        <v>219465343.5</v>
      </c>
      <c r="U27" s="60">
        <f t="shared" si="6"/>
        <v>228481383.2</v>
      </c>
      <c r="V27" s="60">
        <f t="shared" si="6"/>
        <v>237226941.7</v>
      </c>
      <c r="W27" s="60">
        <f t="shared" si="6"/>
        <v>245710133.4</v>
      </c>
      <c r="X27" s="60">
        <f t="shared" si="6"/>
        <v>253938829.4</v>
      </c>
      <c r="Y27" s="60">
        <f t="shared" si="6"/>
        <v>261920664.5</v>
      </c>
      <c r="Z27" s="60">
        <f t="shared" si="6"/>
        <v>269663044.6</v>
      </c>
      <c r="AA27" s="56">
        <f t="shared" si="5"/>
        <v>3760894891</v>
      </c>
    </row>
    <row r="28" ht="15.75" customHeight="1">
      <c r="B28" s="11" t="s">
        <v>127</v>
      </c>
      <c r="C28" s="55">
        <f t="shared" ref="C28:Z28" si="7">C22*$C$13</f>
        <v>6000000</v>
      </c>
      <c r="D28" s="55">
        <f t="shared" si="7"/>
        <v>6000000</v>
      </c>
      <c r="E28" s="55">
        <f t="shared" si="7"/>
        <v>6000000</v>
      </c>
      <c r="F28" s="55">
        <f t="shared" si="7"/>
        <v>6000000</v>
      </c>
      <c r="G28" s="55">
        <f t="shared" si="7"/>
        <v>6000000</v>
      </c>
      <c r="H28" s="55">
        <f t="shared" si="7"/>
        <v>6000000</v>
      </c>
      <c r="I28" s="55">
        <f t="shared" si="7"/>
        <v>6000000</v>
      </c>
      <c r="J28" s="55">
        <f t="shared" si="7"/>
        <v>6000000</v>
      </c>
      <c r="K28" s="55">
        <f t="shared" si="7"/>
        <v>6000000</v>
      </c>
      <c r="L28" s="55">
        <f t="shared" si="7"/>
        <v>6000000</v>
      </c>
      <c r="M28" s="55">
        <f t="shared" si="7"/>
        <v>6000000</v>
      </c>
      <c r="N28" s="55">
        <f t="shared" si="7"/>
        <v>6000000</v>
      </c>
      <c r="O28" s="55">
        <f t="shared" si="7"/>
        <v>6000000</v>
      </c>
      <c r="P28" s="55">
        <f t="shared" si="7"/>
        <v>6000000</v>
      </c>
      <c r="Q28" s="55">
        <f t="shared" si="7"/>
        <v>6000000</v>
      </c>
      <c r="R28" s="55">
        <f t="shared" si="7"/>
        <v>6000000</v>
      </c>
      <c r="S28" s="55">
        <f t="shared" si="7"/>
        <v>6000000</v>
      </c>
      <c r="T28" s="55">
        <f t="shared" si="7"/>
        <v>6000000</v>
      </c>
      <c r="U28" s="55">
        <f t="shared" si="7"/>
        <v>6000000</v>
      </c>
      <c r="V28" s="55">
        <f t="shared" si="7"/>
        <v>6000000</v>
      </c>
      <c r="W28" s="55">
        <f t="shared" si="7"/>
        <v>6000000</v>
      </c>
      <c r="X28" s="55">
        <f t="shared" si="7"/>
        <v>6000000</v>
      </c>
      <c r="Y28" s="55">
        <f t="shared" si="7"/>
        <v>6000000</v>
      </c>
      <c r="Z28" s="55">
        <f t="shared" si="7"/>
        <v>6000000</v>
      </c>
      <c r="AA28" s="56">
        <f t="shared" si="5"/>
        <v>144000000</v>
      </c>
    </row>
    <row r="29" ht="15.75" customHeight="1">
      <c r="B29" s="11" t="s">
        <v>128</v>
      </c>
      <c r="C29" s="55">
        <f t="shared" ref="C29:Z29" si="8">$C$14</f>
        <v>145000000</v>
      </c>
      <c r="D29" s="55">
        <f t="shared" si="8"/>
        <v>145000000</v>
      </c>
      <c r="E29" s="55">
        <f t="shared" si="8"/>
        <v>145000000</v>
      </c>
      <c r="F29" s="55">
        <f t="shared" si="8"/>
        <v>145000000</v>
      </c>
      <c r="G29" s="55">
        <f t="shared" si="8"/>
        <v>145000000</v>
      </c>
      <c r="H29" s="55">
        <f t="shared" si="8"/>
        <v>145000000</v>
      </c>
      <c r="I29" s="55">
        <f t="shared" si="8"/>
        <v>145000000</v>
      </c>
      <c r="J29" s="55">
        <f t="shared" si="8"/>
        <v>145000000</v>
      </c>
      <c r="K29" s="55">
        <f t="shared" si="8"/>
        <v>145000000</v>
      </c>
      <c r="L29" s="55">
        <f t="shared" si="8"/>
        <v>145000000</v>
      </c>
      <c r="M29" s="55">
        <f t="shared" si="8"/>
        <v>145000000</v>
      </c>
      <c r="N29" s="55">
        <f t="shared" si="8"/>
        <v>145000000</v>
      </c>
      <c r="O29" s="55">
        <f t="shared" si="8"/>
        <v>145000000</v>
      </c>
      <c r="P29" s="55">
        <f t="shared" si="8"/>
        <v>145000000</v>
      </c>
      <c r="Q29" s="55">
        <f t="shared" si="8"/>
        <v>145000000</v>
      </c>
      <c r="R29" s="55">
        <f t="shared" si="8"/>
        <v>145000000</v>
      </c>
      <c r="S29" s="55">
        <f t="shared" si="8"/>
        <v>145000000</v>
      </c>
      <c r="T29" s="55">
        <f t="shared" si="8"/>
        <v>145000000</v>
      </c>
      <c r="U29" s="55">
        <f t="shared" si="8"/>
        <v>145000000</v>
      </c>
      <c r="V29" s="55">
        <f t="shared" si="8"/>
        <v>145000000</v>
      </c>
      <c r="W29" s="55">
        <f t="shared" si="8"/>
        <v>145000000</v>
      </c>
      <c r="X29" s="55">
        <f t="shared" si="8"/>
        <v>145000000</v>
      </c>
      <c r="Y29" s="55">
        <f t="shared" si="8"/>
        <v>145000000</v>
      </c>
      <c r="Z29" s="55">
        <f t="shared" si="8"/>
        <v>145000000</v>
      </c>
      <c r="AA29" s="56">
        <f t="shared" si="5"/>
        <v>3480000000</v>
      </c>
    </row>
    <row r="30" ht="15.75" customHeight="1">
      <c r="B30" s="24" t="s">
        <v>129</v>
      </c>
      <c r="C30" s="61">
        <f t="shared" ref="C30:Z30" si="9">C27-C28-C29</f>
        <v>-135400000</v>
      </c>
      <c r="D30" s="61">
        <f t="shared" si="9"/>
        <v>-120268000</v>
      </c>
      <c r="E30" s="61">
        <f t="shared" si="9"/>
        <v>-105589960</v>
      </c>
      <c r="F30" s="61">
        <f t="shared" si="9"/>
        <v>-91352261.2</v>
      </c>
      <c r="G30" s="61">
        <f t="shared" si="9"/>
        <v>-77541693.36</v>
      </c>
      <c r="H30" s="61">
        <f t="shared" si="9"/>
        <v>-64145442.56</v>
      </c>
      <c r="I30" s="61">
        <f t="shared" si="9"/>
        <v>-51151079.29</v>
      </c>
      <c r="J30" s="61">
        <f t="shared" si="9"/>
        <v>-38546546.91</v>
      </c>
      <c r="K30" s="61">
        <f t="shared" si="9"/>
        <v>-26320150.5</v>
      </c>
      <c r="L30" s="61">
        <f t="shared" si="9"/>
        <v>-14460545.99</v>
      </c>
      <c r="M30" s="61">
        <f t="shared" si="9"/>
        <v>-2956729.606</v>
      </c>
      <c r="N30" s="61">
        <f t="shared" si="9"/>
        <v>8201972.282</v>
      </c>
      <c r="O30" s="61">
        <f t="shared" si="9"/>
        <v>19025913.11</v>
      </c>
      <c r="P30" s="61">
        <f t="shared" si="9"/>
        <v>29525135.72</v>
      </c>
      <c r="Q30" s="61">
        <f t="shared" si="9"/>
        <v>39709381.65</v>
      </c>
      <c r="R30" s="61">
        <f t="shared" si="9"/>
        <v>49588100.2</v>
      </c>
      <c r="S30" s="61">
        <f t="shared" si="9"/>
        <v>59170457.19</v>
      </c>
      <c r="T30" s="61">
        <f t="shared" si="9"/>
        <v>68465343.48</v>
      </c>
      <c r="U30" s="61">
        <f t="shared" si="9"/>
        <v>77481383.17</v>
      </c>
      <c r="V30" s="61">
        <f t="shared" si="9"/>
        <v>86226941.68</v>
      </c>
      <c r="W30" s="61">
        <f t="shared" si="9"/>
        <v>94710133.43</v>
      </c>
      <c r="X30" s="61">
        <f t="shared" si="9"/>
        <v>102938829.4</v>
      </c>
      <c r="Y30" s="61">
        <f t="shared" si="9"/>
        <v>110920664.5</v>
      </c>
      <c r="Z30" s="61">
        <f t="shared" si="9"/>
        <v>118663044.6</v>
      </c>
      <c r="AA30" s="62">
        <f t="shared" si="5"/>
        <v>136894891.1</v>
      </c>
    </row>
    <row r="31" ht="15.75" customHeight="1"/>
    <row r="32" ht="15.75" customHeight="1">
      <c r="B32" s="11" t="s">
        <v>130</v>
      </c>
      <c r="C32" s="55">
        <f>C30-$C$15</f>
        <v>-935400000</v>
      </c>
      <c r="D32" s="55">
        <f t="shared" ref="D32:Z32" si="10">D30</f>
        <v>-120268000</v>
      </c>
      <c r="E32" s="55">
        <f t="shared" si="10"/>
        <v>-105589960</v>
      </c>
      <c r="F32" s="55">
        <f t="shared" si="10"/>
        <v>-91352261.2</v>
      </c>
      <c r="G32" s="55">
        <f t="shared" si="10"/>
        <v>-77541693.36</v>
      </c>
      <c r="H32" s="55">
        <f t="shared" si="10"/>
        <v>-64145442.56</v>
      </c>
      <c r="I32" s="55">
        <f t="shared" si="10"/>
        <v>-51151079.29</v>
      </c>
      <c r="J32" s="55">
        <f t="shared" si="10"/>
        <v>-38546546.91</v>
      </c>
      <c r="K32" s="55">
        <f t="shared" si="10"/>
        <v>-26320150.5</v>
      </c>
      <c r="L32" s="55">
        <f t="shared" si="10"/>
        <v>-14460545.99</v>
      </c>
      <c r="M32" s="55">
        <f t="shared" si="10"/>
        <v>-2956729.606</v>
      </c>
      <c r="N32" s="55">
        <f t="shared" si="10"/>
        <v>8201972.282</v>
      </c>
      <c r="O32" s="55">
        <f t="shared" si="10"/>
        <v>19025913.11</v>
      </c>
      <c r="P32" s="55">
        <f t="shared" si="10"/>
        <v>29525135.72</v>
      </c>
      <c r="Q32" s="55">
        <f t="shared" si="10"/>
        <v>39709381.65</v>
      </c>
      <c r="R32" s="55">
        <f t="shared" si="10"/>
        <v>49588100.2</v>
      </c>
      <c r="S32" s="55">
        <f t="shared" si="10"/>
        <v>59170457.19</v>
      </c>
      <c r="T32" s="55">
        <f t="shared" si="10"/>
        <v>68465343.48</v>
      </c>
      <c r="U32" s="55">
        <f t="shared" si="10"/>
        <v>77481383.17</v>
      </c>
      <c r="V32" s="55">
        <f t="shared" si="10"/>
        <v>86226941.68</v>
      </c>
      <c r="W32" s="55">
        <f t="shared" si="10"/>
        <v>94710133.43</v>
      </c>
      <c r="X32" s="55">
        <f t="shared" si="10"/>
        <v>102938829.4</v>
      </c>
      <c r="Y32" s="55">
        <f t="shared" si="10"/>
        <v>110920664.5</v>
      </c>
      <c r="Z32" s="55">
        <f t="shared" si="10"/>
        <v>118663044.6</v>
      </c>
      <c r="AA32" s="56">
        <f>SUM(C32:Z32)</f>
        <v>-663105108.9</v>
      </c>
    </row>
    <row r="33" ht="15.75" customHeight="1">
      <c r="B33" s="63" t="s">
        <v>131</v>
      </c>
      <c r="C33" s="64">
        <f>$C$16+C32</f>
        <v>2064600000</v>
      </c>
      <c r="D33" s="64">
        <f t="shared" ref="D33:Z33" si="11">C33+D32</f>
        <v>1944332000</v>
      </c>
      <c r="E33" s="64">
        <f t="shared" si="11"/>
        <v>1838742040</v>
      </c>
      <c r="F33" s="64">
        <f t="shared" si="11"/>
        <v>1747389779</v>
      </c>
      <c r="G33" s="64">
        <f t="shared" si="11"/>
        <v>1669848085</v>
      </c>
      <c r="H33" s="64">
        <f t="shared" si="11"/>
        <v>1605702643</v>
      </c>
      <c r="I33" s="64">
        <f t="shared" si="11"/>
        <v>1554551564</v>
      </c>
      <c r="J33" s="64">
        <f t="shared" si="11"/>
        <v>1516005017</v>
      </c>
      <c r="K33" s="64">
        <f t="shared" si="11"/>
        <v>1489684866</v>
      </c>
      <c r="L33" s="64">
        <f t="shared" si="11"/>
        <v>1475224320</v>
      </c>
      <c r="M33" s="64">
        <f t="shared" si="11"/>
        <v>1472267591</v>
      </c>
      <c r="N33" s="64">
        <f t="shared" si="11"/>
        <v>1480469563</v>
      </c>
      <c r="O33" s="64">
        <f t="shared" si="11"/>
        <v>1499495476</v>
      </c>
      <c r="P33" s="64">
        <f t="shared" si="11"/>
        <v>1529020612</v>
      </c>
      <c r="Q33" s="64">
        <f t="shared" si="11"/>
        <v>1568729993</v>
      </c>
      <c r="R33" s="64">
        <f t="shared" si="11"/>
        <v>1618318094</v>
      </c>
      <c r="S33" s="64">
        <f t="shared" si="11"/>
        <v>1677488551</v>
      </c>
      <c r="T33" s="64">
        <f t="shared" si="11"/>
        <v>1745953894</v>
      </c>
      <c r="U33" s="64">
        <f t="shared" si="11"/>
        <v>1823435277</v>
      </c>
      <c r="V33" s="64">
        <f t="shared" si="11"/>
        <v>1909662219</v>
      </c>
      <c r="W33" s="64">
        <f t="shared" si="11"/>
        <v>2004372353</v>
      </c>
      <c r="X33" s="64">
        <f t="shared" si="11"/>
        <v>2107311182</v>
      </c>
      <c r="Y33" s="64">
        <f t="shared" si="11"/>
        <v>2218231846</v>
      </c>
      <c r="Z33" s="64">
        <f t="shared" si="11"/>
        <v>2336894891</v>
      </c>
    </row>
    <row r="34" ht="15.75" customHeight="1"/>
    <row r="35" ht="15.75" customHeight="1"/>
    <row r="36" ht="15.75" customHeight="1">
      <c r="B36" s="5" t="s">
        <v>132</v>
      </c>
      <c r="C36" s="2"/>
      <c r="D36" s="2"/>
      <c r="E36" s="2"/>
      <c r="F36" s="2"/>
      <c r="G36" s="2"/>
      <c r="H36" s="2"/>
      <c r="I36" s="2"/>
      <c r="J36" s="3"/>
    </row>
    <row r="37" ht="15.75" customHeight="1">
      <c r="B37" s="10" t="s">
        <v>133</v>
      </c>
      <c r="C37" s="65">
        <f t="array" ref="C37">(NPV($C$17,D32:Z32)+C32)/1000000</f>
        <v>-846.5773667</v>
      </c>
      <c r="D37" s="47" t="str">
        <f>"(target: &gt; 0)"</f>
        <v>(target: &gt; 0)</v>
      </c>
    </row>
    <row r="38" ht="15.75" customHeight="1">
      <c r="B38" s="10" t="s">
        <v>134</v>
      </c>
      <c r="C38" s="66">
        <f>IFERROR((1+IRR(C32:Z32))^12-1,0)</f>
        <v>-0.322039686</v>
      </c>
      <c r="D38" s="47" t="str">
        <f>"(target: &gt; "&amp;TEXT(CHOOSE($C$6,'1. Assumptions'!C35,'1. Assumptions'!D35,'1. Assumptions'!E35),"0.0%")&amp;")"</f>
        <v>(target: &gt; 20,0%)</v>
      </c>
    </row>
    <row r="39" ht="15.75" customHeight="1">
      <c r="B39" s="10" t="s">
        <v>135</v>
      </c>
      <c r="C39" s="67" t="str">
        <f t="array" ref="C39">IFERROR(MATCH(TRUE(),INDEX(C41:Z41&gt;=0,0),0),"&gt; 24")</f>
        <v>&gt; 24</v>
      </c>
      <c r="D39" s="47" t="str">
        <f>"(target: &lt; 24)"</f>
        <v>(target: &lt; 24)</v>
      </c>
    </row>
    <row r="40" ht="15.75" customHeight="1">
      <c r="B40" s="10" t="s">
        <v>136</v>
      </c>
      <c r="C40" s="67" t="str">
        <f t="array" ref="C40">IFERROR(MATCH(TRUE(),INDEX(C33:Z33&lt;0,0),0)-1,"&gt;= 24")</f>
        <v>&gt;= 24</v>
      </c>
      <c r="D40" s="47" t="str">
        <f>"(target: &gt;= 12)"</f>
        <v>(target: &gt;= 12)</v>
      </c>
    </row>
    <row r="41" ht="15.75" customHeight="1">
      <c r="B41" s="68" t="s">
        <v>137</v>
      </c>
      <c r="C41" s="69">
        <f>C32</f>
        <v>-935400000</v>
      </c>
      <c r="D41" s="69">
        <f t="shared" ref="D41:Z41" si="12">C41+D32</f>
        <v>-1055668000</v>
      </c>
      <c r="E41" s="69">
        <f t="shared" si="12"/>
        <v>-1161257960</v>
      </c>
      <c r="F41" s="69">
        <f t="shared" si="12"/>
        <v>-1252610221</v>
      </c>
      <c r="G41" s="69">
        <f t="shared" si="12"/>
        <v>-1330151915</v>
      </c>
      <c r="H41" s="69">
        <f t="shared" si="12"/>
        <v>-1394297357</v>
      </c>
      <c r="I41" s="69">
        <f t="shared" si="12"/>
        <v>-1445448436</v>
      </c>
      <c r="J41" s="69">
        <f t="shared" si="12"/>
        <v>-1483994983</v>
      </c>
      <c r="K41" s="69">
        <f t="shared" si="12"/>
        <v>-1510315134</v>
      </c>
      <c r="L41" s="69">
        <f t="shared" si="12"/>
        <v>-1524775680</v>
      </c>
      <c r="M41" s="69">
        <f t="shared" si="12"/>
        <v>-1527732409</v>
      </c>
      <c r="N41" s="69">
        <f t="shared" si="12"/>
        <v>-1519530437</v>
      </c>
      <c r="O41" s="69">
        <f t="shared" si="12"/>
        <v>-1500504524</v>
      </c>
      <c r="P41" s="69">
        <f t="shared" si="12"/>
        <v>-1470979388</v>
      </c>
      <c r="Q41" s="69">
        <f t="shared" si="12"/>
        <v>-1431270007</v>
      </c>
      <c r="R41" s="69">
        <f t="shared" si="12"/>
        <v>-1381681906</v>
      </c>
      <c r="S41" s="69">
        <f t="shared" si="12"/>
        <v>-1322511449</v>
      </c>
      <c r="T41" s="69">
        <f t="shared" si="12"/>
        <v>-1254046106</v>
      </c>
      <c r="U41" s="69">
        <f t="shared" si="12"/>
        <v>-1176564723</v>
      </c>
      <c r="V41" s="69">
        <f t="shared" si="12"/>
        <v>-1090337781</v>
      </c>
      <c r="W41" s="69">
        <f t="shared" si="12"/>
        <v>-995627647.5</v>
      </c>
      <c r="X41" s="69">
        <f t="shared" si="12"/>
        <v>-892688818.1</v>
      </c>
      <c r="Y41" s="69">
        <f t="shared" si="12"/>
        <v>-781768153.5</v>
      </c>
      <c r="Z41" s="69">
        <f t="shared" si="12"/>
        <v>-663105108.9</v>
      </c>
    </row>
    <row r="42" ht="15.75" customHeight="1"/>
    <row r="43" ht="15.75" customHeight="1">
      <c r="B43" s="5" t="s">
        <v>138</v>
      </c>
      <c r="C43" s="2"/>
      <c r="D43" s="2"/>
      <c r="E43" s="2"/>
      <c r="F43" s="2"/>
      <c r="G43" s="2"/>
      <c r="H43" s="2"/>
      <c r="I43" s="2"/>
      <c r="J43" s="3"/>
    </row>
    <row r="44" ht="15.75" customHeight="1">
      <c r="B44" s="10" t="s">
        <v>139</v>
      </c>
      <c r="C44" s="70" t="str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>✗ NO-GO — NPV âm: dự án không tạo giá trị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H2"/>
    <mergeCell ref="D4:H4"/>
    <mergeCell ref="B20:AA20"/>
    <mergeCell ref="B36:J36"/>
    <mergeCell ref="B43:J43"/>
    <mergeCell ref="C44:J44"/>
  </mergeCells>
  <conditionalFormatting sqref="C33">
    <cfRule type="cellIs" dxfId="3" priority="1" operator="lessThan">
      <formula>0</formula>
    </cfRule>
  </conditionalFormatting>
  <conditionalFormatting sqref="D33">
    <cfRule type="cellIs" dxfId="3" priority="2" operator="lessThan">
      <formula>0</formula>
    </cfRule>
  </conditionalFormatting>
  <conditionalFormatting sqref="E33">
    <cfRule type="cellIs" dxfId="3" priority="3" operator="lessThan">
      <formula>0</formula>
    </cfRule>
  </conditionalFormatting>
  <conditionalFormatting sqref="F33">
    <cfRule type="cellIs" dxfId="3" priority="4" operator="lessThan">
      <formula>0</formula>
    </cfRule>
  </conditionalFormatting>
  <conditionalFormatting sqref="G33">
    <cfRule type="cellIs" dxfId="3" priority="5" operator="lessThan">
      <formula>0</formula>
    </cfRule>
  </conditionalFormatting>
  <conditionalFormatting sqref="H33">
    <cfRule type="cellIs" dxfId="3" priority="6" operator="lessThan">
      <formula>0</formula>
    </cfRule>
  </conditionalFormatting>
  <conditionalFormatting sqref="I33">
    <cfRule type="cellIs" dxfId="3" priority="7" operator="lessThan">
      <formula>0</formula>
    </cfRule>
  </conditionalFormatting>
  <conditionalFormatting sqref="J33">
    <cfRule type="cellIs" dxfId="3" priority="8" operator="lessThan">
      <formula>0</formula>
    </cfRule>
  </conditionalFormatting>
  <conditionalFormatting sqref="K33">
    <cfRule type="cellIs" dxfId="3" priority="9" operator="lessThan">
      <formula>0</formula>
    </cfRule>
  </conditionalFormatting>
  <conditionalFormatting sqref="L33">
    <cfRule type="cellIs" dxfId="3" priority="10" operator="lessThan">
      <formula>0</formula>
    </cfRule>
  </conditionalFormatting>
  <conditionalFormatting sqref="M33">
    <cfRule type="cellIs" dxfId="3" priority="11" operator="lessThan">
      <formula>0</formula>
    </cfRule>
  </conditionalFormatting>
  <conditionalFormatting sqref="N33">
    <cfRule type="cellIs" dxfId="3" priority="12" operator="lessThan">
      <formula>0</formula>
    </cfRule>
  </conditionalFormatting>
  <conditionalFormatting sqref="O33">
    <cfRule type="cellIs" dxfId="3" priority="13" operator="lessThan">
      <formula>0</formula>
    </cfRule>
  </conditionalFormatting>
  <conditionalFormatting sqref="P33">
    <cfRule type="cellIs" dxfId="3" priority="14" operator="lessThan">
      <formula>0</formula>
    </cfRule>
  </conditionalFormatting>
  <conditionalFormatting sqref="Q33">
    <cfRule type="cellIs" dxfId="3" priority="15" operator="lessThan">
      <formula>0</formula>
    </cfRule>
  </conditionalFormatting>
  <conditionalFormatting sqref="R33">
    <cfRule type="cellIs" dxfId="3" priority="16" operator="lessThan">
      <formula>0</formula>
    </cfRule>
  </conditionalFormatting>
  <conditionalFormatting sqref="S33">
    <cfRule type="cellIs" dxfId="3" priority="17" operator="lessThan">
      <formula>0</formula>
    </cfRule>
  </conditionalFormatting>
  <conditionalFormatting sqref="T33">
    <cfRule type="cellIs" dxfId="3" priority="18" operator="lessThan">
      <formula>0</formula>
    </cfRule>
  </conditionalFormatting>
  <conditionalFormatting sqref="U33">
    <cfRule type="cellIs" dxfId="3" priority="19" operator="lessThan">
      <formula>0</formula>
    </cfRule>
  </conditionalFormatting>
  <conditionalFormatting sqref="V33">
    <cfRule type="cellIs" dxfId="3" priority="20" operator="lessThan">
      <formula>0</formula>
    </cfRule>
  </conditionalFormatting>
  <conditionalFormatting sqref="W33">
    <cfRule type="cellIs" dxfId="3" priority="21" operator="lessThan">
      <formula>0</formula>
    </cfRule>
  </conditionalFormatting>
  <conditionalFormatting sqref="X33">
    <cfRule type="cellIs" dxfId="3" priority="22" operator="lessThan">
      <formula>0</formula>
    </cfRule>
  </conditionalFormatting>
  <conditionalFormatting sqref="Y33">
    <cfRule type="cellIs" dxfId="3" priority="23" operator="lessThan">
      <formula>0</formula>
    </cfRule>
  </conditionalFormatting>
  <conditionalFormatting sqref="Z33">
    <cfRule type="cellIs" dxfId="3" priority="24" operator="lessThan">
      <formula>0</formula>
    </cfRule>
  </conditionalFormatting>
  <conditionalFormatting sqref="C37">
    <cfRule type="cellIs" dxfId="4" priority="25" operator="greaterThan">
      <formula>0</formula>
    </cfRule>
  </conditionalFormatting>
  <conditionalFormatting sqref="C37">
    <cfRule type="cellIs" dxfId="5" priority="26" operator="lessThanOrEqual">
      <formula>0</formula>
    </cfRule>
  </conditionalFormatting>
  <conditionalFormatting sqref="C40">
    <cfRule type="expression" dxfId="5" priority="27">
      <formula>AND(ISNUMBER(C40),C40&lt;12)</formula>
    </cfRule>
  </conditionalFormatting>
  <dataValidations>
    <dataValidation type="list" allowBlank="1" sqref="C4">
      <formula1>"Optimistic,Base,Pessimistic"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2026-05-03T14:07:25Z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